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9 Checks" state="visible" r:id="rId4"/>
    <sheet sheetId="2" name="Recommendations" state="visible" r:id="rId5"/>
    <sheet sheetId="3" name="PO Summary" state="visible" r:id="rId6"/>
    <sheet sheetId="4" name="Rules" state="visible" r:id="rId7"/>
    <sheet sheetId="5" name="Sales_Wide" state="visible" r:id="rId8"/>
    <sheet sheetId="6" name="SKU_Master" state="visible" r:id="rId9"/>
    <sheet sheetId="7" name="Inventory" state="visible" r:id="rId10"/>
    <sheet sheetId="8" name="Calendar" state="visible" r:id="rId11"/>
    <sheet sheetId="9" name="Distributors" state="visible" r:id="rId12"/>
  </sheets>
  <calcPr calcId="171027"/>
</workbook>
</file>

<file path=xl/sharedStrings.xml><?xml version="1.0" encoding="utf-8"?>
<sst xmlns="http://schemas.openxmlformats.org/spreadsheetml/2006/main" count="376" uniqueCount="252">
  <si>
    <t>Group</t>
  </si>
  <si>
    <t>#</t>
  </si>
  <si>
    <t>Check</t>
  </si>
  <si>
    <t>Demand Planning</t>
  </si>
  <si>
    <t>Distributor Service</t>
  </si>
  <si>
    <t>Operations Intelligence</t>
  </si>
  <si>
    <t>Kill switch</t>
  </si>
  <si>
    <t>01</t>
  </si>
  <si>
    <t>Problem real?</t>
  </si>
  <si>
    <t>Yes. Rs 28-34L lost every quarter to stockouts and write-offs; forecasts 3-4 weeks stale.</t>
  </si>
  <si>
    <t>Yes. 3 distributors lost; Nashik account cut orders 30%. Root cause was a missed notification (process failure), not volume.</t>
  </si>
  <si>
    <t>Yes. Rs 9L write-off, but a single incident in 3 months.</t>
  </si>
  <si>
    <t>02</t>
  </si>
  <si>
    <t>Workflow repeated?</t>
  </si>
  <si>
    <t>Yes. Monthly, 2 days, 400 SKUs; Raghav wants twice a week.</t>
  </si>
  <si>
    <t>Yes. 50-80 messages a day.</t>
  </si>
  <si>
    <t>Yes. Every Monday, 4 hours, same 12 metrics for 2 years.</t>
  </si>
  <si>
    <t>03</t>
  </si>
  <si>
    <t>Input available?</t>
  </si>
  <si>
    <t>Yes. 3 years of structured SAP data; seed files confirm it.</t>
  </si>
  <si>
    <t>No. No WhatsApp archive, categories or response times. Stop: fix data capture first.</t>
  </si>
  <si>
    <t>Yes. 2 years of clean SAP data; metrics well defined.</t>
  </si>
  <si>
    <t>Sizing</t>
  </si>
  <si>
    <t>04</t>
  </si>
  <si>
    <t>Output valuable?</t>
  </si>
  <si>
    <t>Yes. Per-SKU decision (reorder / 1.5x / pause) procurement acts on.</t>
  </si>
  <si>
    <t>Partial. Real loss (missed scheme) needs a broadcast process, not a bot.</t>
  </si>
  <si>
    <t>Partial. Faster dashboard alone changes nothing; bottleneck is who acts.</t>
  </si>
  <si>
    <t>05</t>
  </si>
  <si>
    <t>Impact measurable?</t>
  </si>
  <si>
    <t>Yes. Baselines exist: stockout Rs, write-off Rs, cycle time, % automated.</t>
  </si>
  <si>
    <t>No. No baselines for response time, resolution or query mix.</t>
  </si>
  <si>
    <t>Partial. Alert-to-action time measurable going forward only.</t>
  </si>
  <si>
    <t>08</t>
  </si>
  <si>
    <t>ROI worth it?</t>
  </si>
  <si>
    <t>Yes. 80-85% of logic already written; 20% error cut ~ Rs 5.6-6.8L/qtr (Rs 22-27L/yr) vs Rs 15L budget.</t>
  </si>
  <si>
    <t>Unknown. High upside but cannot be sized without data.</t>
  </si>
  <si>
    <t>Partial. Saves 4 hrs/week; avoided losses occasional.</t>
  </si>
  <si>
    <t>Boundary</t>
  </si>
  <si>
    <t>06</t>
  </si>
  <si>
    <t>Failure risk OK?</t>
  </si>
  <si>
    <t>Partial. Wrong reorder = stockout or write-off. Human approval before any order is placed.</t>
  </si>
  <si>
    <t>No. Wrong credit/scheme answer damages the relationship. Human reviews replies.</t>
  </si>
  <si>
    <t>Yes. Alerts are informational only.</t>
  </si>
  <si>
    <t>07</t>
  </si>
  <si>
    <t>Judgment protected?</t>
  </si>
  <si>
    <t>Partial. 15-20% of cases need Raghav. Exceptions go to Raghav.</t>
  </si>
  <si>
    <t>Partial. Relationships and escalations stay with CS rep.</t>
  </si>
  <si>
    <t>Yes. CEO and procurement still decide.</t>
  </si>
  <si>
    <t>09</t>
  </si>
  <si>
    <t>Owner clear?</t>
  </si>
  <si>
    <t>Yes. Raghav owns recommendations; procurement owns orders; Deepa owns rules.</t>
  </si>
  <si>
    <t>Partial. CS lead exists but no leave handover process.</t>
  </si>
  <si>
    <t>No. Nobody owns acting when a metric moves. Name an owner first.</t>
  </si>
  <si>
    <t/>
  </si>
  <si>
    <t>Count of Yes</t>
  </si>
  <si>
    <t>Kill-switch No?</t>
  </si>
  <si>
    <t>Verdict</t>
  </si>
  <si>
    <t>BUILD FIRST</t>
  </si>
  <si>
    <t>DON'T BUILD (YET): log WhatsApp queries for 6 weeks, then re-run checks</t>
  </si>
  <si>
    <t>BUILD SMALLER, LATER: name an owner + daily review, then a simple SAP threshold alert</t>
  </si>
  <si>
    <t>Rule: Kill switches (01-03) any No = don't build. Sizing (04,05,08) any No = build smaller. Boundary (06,07,09) any No = put a human exactly here.</t>
  </si>
  <si>
    <t>SKU</t>
  </si>
  <si>
    <t>Product</t>
  </si>
  <si>
    <t>Perishability</t>
  </si>
  <si>
    <t>On hand</t>
  </si>
  <si>
    <t>Std reorder qty</t>
  </si>
  <si>
    <t>4-wk avg</t>
  </si>
  <si>
    <t>12-wk avg</t>
  </si>
  <si>
    <t>Trend</t>
  </si>
  <si>
    <t>Adj. weekly demand</t>
  </si>
  <si>
    <t>Weeks of stock</t>
  </si>
  <si>
    <t>Min cover</t>
  </si>
  <si>
    <t>Max cover</t>
  </si>
  <si>
    <t>High demand?</t>
  </si>
  <si>
    <t>Stockout risk?</t>
  </si>
  <si>
    <t>Overstock risk?</t>
  </si>
  <si>
    <t>Status</t>
  </si>
  <si>
    <t>Action</t>
  </si>
  <si>
    <t>Recommended qty</t>
  </si>
  <si>
    <t>Weeks after order</t>
  </si>
  <si>
    <t>Send to Raghav?</t>
  </si>
  <si>
    <t>Reason</t>
  </si>
  <si>
    <t>Raghav decision</t>
  </si>
  <si>
    <t>Override qty</t>
  </si>
  <si>
    <t>Final qty to procurement</t>
  </si>
  <si>
    <t>Distributor ID</t>
  </si>
  <si>
    <t>Summary</t>
  </si>
  <si>
    <t>Metric</t>
  </si>
  <si>
    <t>Value</t>
  </si>
  <si>
    <t>SKUs analysed</t>
  </si>
  <si>
    <t>Stockout risk</t>
  </si>
  <si>
    <t>Overstock risk (pause)</t>
  </si>
  <si>
    <t>High demand</t>
  </si>
  <si>
    <t>Healthy</t>
  </si>
  <si>
    <t>Sent to Raghav</t>
  </si>
  <si>
    <t>% handled by rules alone</t>
  </si>
  <si>
    <t>Total recommended units</t>
  </si>
  <si>
    <t>Units released before Raghav reviews</t>
  </si>
  <si>
    <t>Final units to procurement (after decisions)</t>
  </si>
  <si>
    <t>Purchase orders by distributor</t>
  </si>
  <si>
    <t>Distributor</t>
  </si>
  <si>
    <t>Region</t>
  </si>
  <si>
    <t>SKUs to reorder</t>
  </si>
  <si>
    <t>Recommended units</t>
  </si>
  <si>
    <t>Units released*</t>
  </si>
  <si>
    <t>SKUs paused</t>
  </si>
  <si>
    <t>Awaiting Raghav</t>
  </si>
  <si>
    <t>Final units (after decisions)</t>
  </si>
  <si>
    <t>Approved By</t>
  </si>
  <si>
    <t>Approval date</t>
  </si>
  <si>
    <t>Total</t>
  </si>
  <si>
    <t>* Released before Raghav has reviewed flagged SKUs; rises once he approves them. Procurement places orders in Zoho only after "Approved By" and the date are filled in.</t>
  </si>
  <si>
    <t>Parameter</t>
  </si>
  <si>
    <t>Source / note</t>
  </si>
  <si>
    <t>As-of date</t>
  </si>
  <si>
    <t>Inventory!D2 (current_inventory.csv)</t>
  </si>
  <si>
    <t>Planning month</t>
  </si>
  <si>
    <t>Derived from as-of date</t>
  </si>
  <si>
    <t>Festival month?</t>
  </si>
  <si>
    <t>Looked up in Calendar tab</t>
  </si>
  <si>
    <t>Festival boost</t>
  </si>
  <si>
    <t>Case brief (rule 4)</t>
  </si>
  <si>
    <t>Demand multiplier used</t>
  </si>
  <si>
    <t>1 + boost if festival month</t>
  </si>
  <si>
    <t>High-demand trigger</t>
  </si>
  <si>
    <t>Case brief (rule 1)</t>
  </si>
  <si>
    <t>High-demand reorder multiplier</t>
  </si>
  <si>
    <t>Min weeks of stock - low perishability</t>
  </si>
  <si>
    <t>Case brief (rule 2)</t>
  </si>
  <si>
    <t>Max weeks of stock - low perishability</t>
  </si>
  <si>
    <t>Case brief (rule 3)</t>
  </si>
  <si>
    <t>Min weeks of stock - high perishability</t>
  </si>
  <si>
    <t>Case brief (rule 5)</t>
  </si>
  <si>
    <t>Max weeks of stock - high perishability</t>
  </si>
  <si>
    <t>Recent averaging window (weeks)</t>
  </si>
  <si>
    <t>Case brief</t>
  </si>
  <si>
    <t>Long averaging window (weeks)</t>
  </si>
  <si>
    <t>Documented assumptions</t>
  </si>
  <si>
    <t>1. "Average weekly sales" in the stock checks = 12-week average x festival multiplier (boost applied before thresholds, per the brief).</t>
  </si>
  <si>
    <t>2. High-demand check compares the real 4-week avg to the real 12-week avg; boosting both would cancel out, so no boost here.</t>
  </si>
  <si>
    <t>3. High demand in a festival month may double-count the same spike (1.5x reorder + 25% boost), so those SKUs go to Raghav.</t>
  </si>
  <si>
    <t>4. Supplier lead times are not in the seed data; weeks of stock are measured against current stock only.</t>
  </si>
  <si>
    <t>5. Sales are by product, not distributor. Distributor_ID in SKU_Master is used only to group purchase orders.</t>
  </si>
  <si>
    <t>6. Safe default: a flagged SKU releases 0 units until Raghav chooses Approve / Modify / Reject. Nothing reaches procurement unreviewed.</t>
  </si>
  <si>
    <t>Blue text on yellow = editable input. Change any value and every recommendation recalculates.</t>
  </si>
  <si>
    <t>SKU_ID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</si>
  <si>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</si>
  <si>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</si>
  <si>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</si>
  <si>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</si>
  <si>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</si>
  <si>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</si>
  <si>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</si>
  <si>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</si>
  <si>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</si>
  <si>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</si>
  <si>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</si>
  <si>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</si>
  <si>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</si>
  <si>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</si>
  <si>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</si>
  <si>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</si>
  <si>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</si>
  <si>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</si>
  <si>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</si>
  <si>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</si>
  <si>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</si>
  <si>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</si>
  <si>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</si>
  <si>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</si>
  <si>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</si>
  <si>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</si>
  <si>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</si>
  <si>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</si>
  <si>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</si>
  <si>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</si>
  <si>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</si>
  <si>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Week index (helper)</t>
  </si>
  <si>
    <t>SKU_Name</t>
  </si>
  <si>
    <t>Category</t>
  </si>
  <si>
    <t>Standard_Reorder_Qty</t>
  </si>
  <si>
    <t>Unit_of_Measure</t>
  </si>
  <si>
    <t>Distributor_ID</t>
  </si>
  <si>
    <t>Freshroots Mango Drink 200ml</t>
  </si>
  <si>
    <t>Beverage</t>
  </si>
  <si>
    <t>Low</t>
  </si>
  <si>
    <t>Units</t>
  </si>
  <si>
    <t>DIST001</t>
  </si>
  <si>
    <t>Freshroots Oats Cookies 150g</t>
  </si>
  <si>
    <t>Snack</t>
  </si>
  <si>
    <t>Freshroots Brown Rice 1kg</t>
  </si>
  <si>
    <t>Staple</t>
  </si>
  <si>
    <t>DIST002</t>
  </si>
  <si>
    <t>Freshroots Almond Milk 500ml</t>
  </si>
  <si>
    <t>Dairy Alt</t>
  </si>
  <si>
    <t>High</t>
  </si>
  <si>
    <t>Freshroots Mixed Nuts 100g</t>
  </si>
  <si>
    <t>DIST003</t>
  </si>
  <si>
    <t>Freshroots Quinoa 500g</t>
  </si>
  <si>
    <t>Freshroots Coconut Water 330ml</t>
  </si>
  <si>
    <t>Freshroots Granola Bar 40g</t>
  </si>
  <si>
    <t>Freshroots Chia Seeds 200g</t>
  </si>
  <si>
    <t>Freshroots Apple Cider Vinegar 500ml</t>
  </si>
  <si>
    <t>Condiment</t>
  </si>
  <si>
    <t>DIST004</t>
  </si>
  <si>
    <t>Freshroots Multigrain Bread 400g</t>
  </si>
  <si>
    <t>Freshroots Herbal Tea 25 bags</t>
  </si>
  <si>
    <t>Freshroots Peanut Butter 300g</t>
  </si>
  <si>
    <t>Freshroots Dark Chocolate 80g</t>
  </si>
  <si>
    <t>Freshroots Honey 500g</t>
  </si>
  <si>
    <t>Location</t>
  </si>
  <si>
    <t>Units_On_Hand</t>
  </si>
  <si>
    <t>As_Of_Date</t>
  </si>
  <si>
    <t>Pune Central Warehouse</t>
  </si>
  <si>
    <t>Year</t>
  </si>
  <si>
    <t>Month</t>
  </si>
  <si>
    <t>Year_Month</t>
  </si>
  <si>
    <t>Is_Festival_Month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</si>
  <si>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</si>
  <si>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</si>
  <si>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</si>
  <si>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</si>
  <si>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</si>
  <si>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</si>
  <si>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</si>
  <si>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</si>
  <si>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</si>
  <si>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</si>
  <si>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</si>
  <si>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</si>
  <si>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</si>
  <si>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</si>
  <si>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</si>
  <si>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</si>
  <si>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</si>
  <si>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</si>
  <si>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</si>
  <si>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</si>
  <si>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</si>
  <si>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</si>
  <si>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</si>
  <si>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</si>
  <si>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Distributor_Name</t>
  </si>
  <si>
    <t>NutriFlow Distributors</t>
  </si>
  <si>
    <t>Maharashtra</t>
  </si>
  <si>
    <t>Active</t>
  </si>
  <si>
    <t>GrainPath Logistics</t>
  </si>
  <si>
    <t>PeakSource Supply</t>
  </si>
  <si>
    <t>Karnataka</t>
  </si>
  <si>
    <t>Meridian Trade Co.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</si>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</sst>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+0.0%;-0.0%;0.0%"/>
    <numFmt numFmtId="166" formatCode="dd-mmm-yyyy"/>
    <numFmt numFmtId="167" formatCode="0.00&quot;x&quot;"/>
    <numFmt numFmtId="168" formatCode="0.0&quot;x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color rgb="FF0000FF"/>
      <sz val="10"/>
      <name val="Arial"/>
    </font>
    <font>
      <b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C6EFC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BF900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4" fillId="7" borderId="0" xfId="0" applyFont="1" applyFill="1"/>
    <xf numFmtId="0" fontId="5" fillId="0" borderId="0" xfId="0" applyFont="1"/>
    <xf numFmtId="0" fontId="2" fillId="0" borderId="0" xfId="0" applyFont="1"/>
    <xf numFmtId="9" fontId="2" fillId="0" borderId="0" xfId="0" applyNumberFormat="1" applyFont="1"/>
    <xf numFmtId="166" fontId="4" fillId="7" borderId="0" xfId="0" applyNumberFormat="1" applyFont="1" applyFill="1"/>
    <xf numFmtId="0" fontId="3" fillId="0" borderId="2" xfId="0" applyFont="1" applyBorder="1"/>
    <xf numFmtId="166" fontId="2" fillId="0" borderId="0" xfId="0" applyNumberFormat="1" applyFont="1"/>
    <xf numFmtId="9" fontId="4" fillId="7" borderId="0" xfId="0" applyNumberFormat="1" applyFont="1" applyFill="1"/>
    <xf numFmtId="167" fontId="2" fillId="0" borderId="0" xfId="0" applyNumberFormat="1" applyFont="1"/>
    <xf numFmtId="168" fontId="4" fillId="7" borderId="0" xfId="0" applyNumberFormat="1" applyFont="1" applyFill="1"/>
    <xf numFmtId="0" fontId="3" fillId="0" borderId="0" xfId="0" applyFont="1"/>
    <xf numFmtId="166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bgColor rgb="FFE2F0D9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C2F0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9C2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" customWidth="1"/>
    <col min="3" max="3" width="20" customWidth="1"/>
    <col min="4" max="6" width="48" customWidth="1"/>
  </cols>
  <sheetData>
    <row r="1" ht="3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x14ac:dyDescent="0.25">
      <c r="A6" s="2" t="s">
        <v>22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x14ac:dyDescent="0.25">
      <c r="A7" s="2" t="s">
        <v>22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x14ac:dyDescent="0.25">
      <c r="A9" s="2" t="s">
        <v>38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spans="1:6" x14ac:dyDescent="0.25">
      <c r="A10" s="2" t="s">
        <v>38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spans="1:6" x14ac:dyDescent="0.25">
      <c r="A11" s="3" t="s">
        <v>54</v>
      </c>
      <c r="B11" s="3" t="s">
        <v>54</v>
      </c>
      <c r="C11" s="3" t="s">
        <v>55</v>
      </c>
      <c r="D11" s="3" t="str">
        <f>COUNTIF(D2:D10,"Yes*")&amp;" / 9"</f>
        <v>7 / 9</v>
      </c>
      <c r="E11" s="3" t="str">
        <f>COUNTIF(E2:E10,"Yes*")&amp;" / 9"</f>
        <v>2 / 9</v>
      </c>
      <c r="F11" s="3" t="str">
        <f>COUNTIF(F2:F10,"Yes*")&amp;" / 9"</f>
        <v>5 / 9</v>
      </c>
    </row>
    <row r="12" spans="1:6" x14ac:dyDescent="0.25">
      <c r="A12" s="3" t="s">
        <v>54</v>
      </c>
      <c r="B12" s="3" t="s">
        <v>54</v>
      </c>
      <c r="C12" s="3" t="s">
        <v>56</v>
      </c>
      <c r="D12" s="3" t="str">
        <f>IF(COUNTIF(D2:D4,"No*")&gt;0,"Yes","No")</f>
        <v>No</v>
      </c>
      <c r="E12" s="3" t="str">
        <f>IF(COUNTIF(E2:E4,"No*")&gt;0,"Yes","No")</f>
        <v>Yes</v>
      </c>
      <c r="F12" s="3" t="str">
        <f>IF(COUNTIF(F2:F4,"No*")&gt;0,"Yes","No")</f>
        <v>No</v>
      </c>
    </row>
    <row r="13" spans="1:6" x14ac:dyDescent="0.25">
      <c r="A13" s="3" t="s">
        <v>54</v>
      </c>
      <c r="B13" s="3" t="s">
        <v>54</v>
      </c>
      <c r="C13" s="3" t="s">
        <v>57</v>
      </c>
      <c r="D13" s="4" t="s">
        <v>58</v>
      </c>
      <c r="E13" s="5" t="s">
        <v>59</v>
      </c>
      <c r="F13" s="6" t="s">
        <v>60</v>
      </c>
    </row>
    <row r="15" spans="1:1" x14ac:dyDescent="0.25">
      <c r="A15" t="s">
        <v>61</v>
      </c>
    </row>
  </sheetData>
  <conditionalFormatting sqref="D2:F10">
    <cfRule type="expression" dxfId="0" priority="1">
      <formula>LEFT(D2,3)="Yes"</formula>
    </cfRule>
    <cfRule type="expression" dxfId="1" priority="2">
      <formula>LEFT(D2,2)="No"</formula>
    </cfRule>
    <cfRule type="expression" dxfId="2" priority="3">
      <formula>OR(LEFT(D2,7)="Partial",LEFT(D2,7)="Unknown")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12" customWidth="1"/>
    <col min="5" max="5" width="10" customWidth="1"/>
    <col min="9" max="9" width="11" customWidth="1"/>
    <col min="11" max="12" width="8" customWidth="1"/>
    <col min="13" max="15" width="10" customWidth="1"/>
    <col min="16" max="16" width="26" customWidth="1"/>
    <col min="17" max="17" width="20" customWidth="1"/>
    <col min="18" max="18" width="12" customWidth="1"/>
    <col min="19" max="20" width="11" customWidth="1"/>
    <col min="21" max="21" width="52" customWidth="1"/>
    <col min="22" max="22" width="14" customWidth="1"/>
    <col min="23" max="23" width="10" customWidth="1"/>
    <col min="24" max="24" width="14" customWidth="1"/>
    <col min="25" max="25" width="12" customWidth="1"/>
  </cols>
  <sheetData>
    <row r="1" ht="32" customHeight="1" spans="1:25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7" t="s">
        <v>83</v>
      </c>
      <c r="W1" s="7" t="s">
        <v>84</v>
      </c>
      <c r="X1" s="1" t="s">
        <v>85</v>
      </c>
      <c r="Y1" s="1" t="s">
        <v>86</v>
      </c>
    </row>
    <row r="2" spans="1:25" x14ac:dyDescent="0.25">
      <c r="A2" s="8" t="str">
        <f>SKU_Master!A2</f>
        <v>SKU001</v>
      </c>
      <c r="B2" s="8" t="str">
        <f>SKU_Master!B2</f>
        <v>Freshroots Mango Drink 200ml</v>
      </c>
      <c r="C2" s="8" t="str">
        <f>SKU_Master!D2</f>
        <v>Low</v>
      </c>
      <c r="D2" s="8">
        <f>INDEX(Inventory!$C:$C,MATCH(A2,Inventory!$A:$A,0))</f>
        <v>900</v>
      </c>
      <c r="E2" s="8">
        <f>SKU_Master!E2</f>
        <v>500</v>
      </c>
      <c r="F2" s="9">
        <f>SUMIFS(Sales_Wide!$B2:$Q2,Sales_Wide!$B$18:$Q$18,"&gt;"&amp;(16-Rules!$B$13))/Rules!$B$13</f>
        <v>261</v>
      </c>
      <c r="G2" s="9">
        <f>SUMIFS(Sales_Wide!$B2:$Q2,Sales_Wide!$B$18:$Q$18,"&gt;"&amp;(16-Rules!$B$14))/Rules!$B$14</f>
        <v>214.91666666666666</v>
      </c>
      <c r="H2" s="10">
        <f>F2/G2-1</f>
        <v>0.21442419542458313</v>
      </c>
      <c r="I2" s="9">
        <f>G2*Rules!$B$6</f>
        <v>268.6458333333333</v>
      </c>
      <c r="J2" s="11">
        <f>D2/I2</f>
        <v>3.3501357115160917</v>
      </c>
      <c r="K2" s="8">
        <f>IF(C2="High",Rules!$B$11,Rules!$B$9)</f>
        <v>6</v>
      </c>
      <c r="L2" s="8">
        <f>IF(C2="High",Rules!$B$12,Rules!$B$10)</f>
        <v>14</v>
      </c>
      <c r="M2" s="8" t="b">
        <f>H2&gt;Rules!$B$7</f>
        <v>1</v>
      </c>
      <c r="N2" s="8" t="b">
        <f>J2&lt;K2</f>
        <v>1</v>
      </c>
      <c r="O2" s="8" t="b">
        <f>J2&gt;L2</f>
        <v>0</v>
      </c>
      <c r="P2" s="8" t="str">
        <f>IF(O2,"Overstock risk",IF(AND(M2,N2),"High demand + Stockout risk",IF(N2,"Stockout risk",IF(M2,"High demand","Healthy"))))</f>
        <v>High demand + Stockout risk</v>
      </c>
      <c r="Q2" s="8" t="str">
        <f>IF(O2,"Pause next order",IF(OR(M2,N2),"Reorder immediately","No action"))</f>
        <v>Reorder immediately</v>
      </c>
      <c r="R2" s="8">
        <f>IF(O2,0,IF(M2,E2*Rules!$B$8,IF(N2,E2,0)))</f>
        <v>750</v>
      </c>
      <c r="S2" s="11">
        <f>(D2+R2)/I2</f>
        <v>6.141915471112835</v>
      </c>
      <c r="T2" s="8" t="str">
        <f>IF(OR(AND(M2,O2),AND(M2,Rules!$B$4),AND(R2&gt;0,S2&lt;K2),AND(R2&gt;0,S2&gt;L2)),"YES","No")</f>
        <v>YES</v>
      </c>
      <c r="U2" s="2" t="str">
        <f>IF(T2="YES",IF(AND(M2,O2),"High demand but overstocked: rules disagree.",IF(AND(M2,Rules!$B$4),"High demand in a festival month: 1.5x reorder and +25% boost may double-count the spike.",IF(AND(R2&gt;0,S2&lt;K2),"Standard qty leaves cover below minimum.","Cover after order exceeds maximum."))),IF(O2,"Cover above maximum: pause next order.",IF(R2&gt;0,"Within limits after reorder: rule-based.","Stock within limits.")))</f>
        <v>High demand in a festival month: 1.5x reorder and +25% boost may double-count the spike.</v>
      </c>
      <c r="V2" s="12"/>
      <c r="W2" s="12"/>
      <c r="X2" s="8">
        <f>IF(W2&lt;&gt;"",W2,IF(V2="Reject",0,IF(AND(T2="YES",V2=""),0,R2)))</f>
        <v>0</v>
      </c>
      <c r="Y2" s="8" t="str">
        <f>SKU_Master!G2</f>
        <v>DIST001</v>
      </c>
    </row>
    <row r="3" spans="1:25" x14ac:dyDescent="0.25">
      <c r="A3" s="8" t="str">
        <f>SKU_Master!A3</f>
        <v>SKU002</v>
      </c>
      <c r="B3" s="8" t="str">
        <f>SKU_Master!B3</f>
        <v>Freshroots Oats Cookies 150g</v>
      </c>
      <c r="C3" s="8" t="str">
        <f>SKU_Master!D3</f>
        <v>Low</v>
      </c>
      <c r="D3" s="8">
        <f>INDEX(Inventory!$C:$C,MATCH(A3,Inventory!$A:$A,0))</f>
        <v>1200</v>
      </c>
      <c r="E3" s="8">
        <f>SKU_Master!E3</f>
        <v>200</v>
      </c>
      <c r="F3" s="9">
        <f>SUMIFS(Sales_Wide!$B3:$Q3,Sales_Wide!$B$18:$Q$18,"&gt;"&amp;(16-Rules!$B$13))/Rules!$B$13</f>
        <v>83.75</v>
      </c>
      <c r="G3" s="9">
        <f>SUMIFS(Sales_Wide!$B3:$Q3,Sales_Wide!$B$18:$Q$18,"&gt;"&amp;(16-Rules!$B$14))/Rules!$B$14</f>
        <v>83.75</v>
      </c>
      <c r="H3" s="10">
        <f>F3/G3-1</f>
        <v>0</v>
      </c>
      <c r="I3" s="9">
        <f>G3*Rules!$B$6</f>
        <v>104.6875</v>
      </c>
      <c r="J3" s="11">
        <f>D3/I3</f>
        <v>11.462686567164178</v>
      </c>
      <c r="K3" s="8">
        <f>IF(C3="High",Rules!$B$11,Rules!$B$9)</f>
        <v>6</v>
      </c>
      <c r="L3" s="8">
        <f>IF(C3="High",Rules!$B$12,Rules!$B$10)</f>
        <v>14</v>
      </c>
      <c r="M3" s="8" t="b">
        <f>H3&gt;Rules!$B$7</f>
        <v>0</v>
      </c>
      <c r="N3" s="8" t="b">
        <f>J3&lt;K3</f>
        <v>0</v>
      </c>
      <c r="O3" s="8" t="b">
        <f>J3&gt;L3</f>
        <v>0</v>
      </c>
      <c r="P3" s="8" t="str">
        <f>IF(O3,"Overstock risk",IF(AND(M3,N3),"High demand + Stockout risk",IF(N3,"Stockout risk",IF(M3,"High demand","Healthy"))))</f>
        <v>Healthy</v>
      </c>
      <c r="Q3" s="8" t="str">
        <f>IF(O3,"Pause next order",IF(OR(M3,N3),"Reorder immediately","No action"))</f>
        <v>No action</v>
      </c>
      <c r="R3" s="8">
        <f>IF(O3,0,IF(M3,E3*Rules!$B$8,IF(N3,E3,0)))</f>
        <v>0</v>
      </c>
      <c r="S3" s="11">
        <f>(D3+R3)/I3</f>
        <v>11.462686567164178</v>
      </c>
      <c r="T3" s="8" t="str">
        <f>IF(OR(AND(M3,O3),AND(M3,Rules!$B$4),AND(R3&gt;0,S3&lt;K3),AND(R3&gt;0,S3&gt;L3)),"YES","No")</f>
        <v>No</v>
      </c>
      <c r="U3" s="2" t="str">
        <f>IF(T3="YES",IF(AND(M3,O3),"High demand but overstocked: rules disagree.",IF(AND(M3,Rules!$B$4),"High demand in a festival month: 1.5x reorder and +25% boost may double-count the spike.",IF(AND(R3&gt;0,S3&lt;K3),"Standard qty leaves cover below minimum.","Cover after order exceeds maximum."))),IF(O3,"Cover above maximum: pause next order.",IF(R3&gt;0,"Within limits after reorder: rule-based.","Stock within limits.")))</f>
        <v>Stock within limits.</v>
      </c>
      <c r="V3" s="12"/>
      <c r="W3" s="12"/>
      <c r="X3" s="8">
        <f>IF(W3&lt;&gt;"",W3,IF(V3="Reject",0,IF(AND(T3="YES",V3=""),0,R3)))</f>
        <v>0</v>
      </c>
      <c r="Y3" s="8" t="str">
        <f>SKU_Master!G3</f>
        <v>DIST001</v>
      </c>
    </row>
    <row r="4" spans="1:25" x14ac:dyDescent="0.25">
      <c r="A4" s="8" t="str">
        <f>SKU_Master!A4</f>
        <v>SKU003</v>
      </c>
      <c r="B4" s="8" t="str">
        <f>SKU_Master!B4</f>
        <v>Freshroots Brown Rice 1kg</v>
      </c>
      <c r="C4" s="8" t="str">
        <f>SKU_Master!D4</f>
        <v>Low</v>
      </c>
      <c r="D4" s="8">
        <f>INDEX(Inventory!$C:$C,MATCH(A4,Inventory!$A:$A,0))</f>
        <v>820</v>
      </c>
      <c r="E4" s="8">
        <f>SKU_Master!E4</f>
        <v>300</v>
      </c>
      <c r="F4" s="9">
        <f>SUMIFS(Sales_Wide!$B4:$Q4,Sales_Wide!$B$18:$Q$18,"&gt;"&amp;(16-Rules!$B$13))/Rules!$B$13</f>
        <v>150.75</v>
      </c>
      <c r="G4" s="9">
        <f>SUMIFS(Sales_Wide!$B4:$Q4,Sales_Wide!$B$18:$Q$18,"&gt;"&amp;(16-Rules!$B$14))/Rules!$B$14</f>
        <v>150.5</v>
      </c>
      <c r="H4" s="10">
        <f>F4/G4-1</f>
        <v>0.0016611295681063787</v>
      </c>
      <c r="I4" s="9">
        <f>G4*Rules!$B$6</f>
        <v>188.125</v>
      </c>
      <c r="J4" s="11">
        <f>D4/I4</f>
        <v>4.358803986710964</v>
      </c>
      <c r="K4" s="8">
        <f>IF(C4="High",Rules!$B$11,Rules!$B$9)</f>
        <v>6</v>
      </c>
      <c r="L4" s="8">
        <f>IF(C4="High",Rules!$B$12,Rules!$B$10)</f>
        <v>14</v>
      </c>
      <c r="M4" s="8" t="b">
        <f>H4&gt;Rules!$B$7</f>
        <v>0</v>
      </c>
      <c r="N4" s="8" t="b">
        <f>J4&lt;K4</f>
        <v>1</v>
      </c>
      <c r="O4" s="8" t="b">
        <f>J4&gt;L4</f>
        <v>0</v>
      </c>
      <c r="P4" s="8" t="str">
        <f>IF(O4,"Overstock risk",IF(AND(M4,N4),"High demand + Stockout risk",IF(N4,"Stockout risk",IF(M4,"High demand","Healthy"))))</f>
        <v>Stockout risk</v>
      </c>
      <c r="Q4" s="8" t="str">
        <f>IF(O4,"Pause next order",IF(OR(M4,N4),"Reorder immediately","No action"))</f>
        <v>Reorder immediately</v>
      </c>
      <c r="R4" s="8">
        <f>IF(O4,0,IF(M4,E4*Rules!$B$8,IF(N4,E4,0)))</f>
        <v>300</v>
      </c>
      <c r="S4" s="11">
        <f>(D4+R4)/I4</f>
        <v>5.953488372093023</v>
      </c>
      <c r="T4" s="8" t="str">
        <f>IF(OR(AND(M4,O4),AND(M4,Rules!$B$4),AND(R4&gt;0,S4&lt;K4),AND(R4&gt;0,S4&gt;L4)),"YES","No")</f>
        <v>YES</v>
      </c>
      <c r="U4" s="2" t="str">
        <f>IF(T4="YES",IF(AND(M4,O4),"High demand but overstocked: rules disagree.",IF(AND(M4,Rules!$B$4),"High demand in a festival month: 1.5x reorder and +25% boost may double-count the spike.",IF(AND(R4&gt;0,S4&lt;K4),"Standard qty leaves cover below minimum.","Cover after order exceeds maximum."))),IF(O4,"Cover above maximum: pause next order.",IF(R4&gt;0,"Within limits after reorder: rule-based.","Stock within limits.")))</f>
        <v>Standard qty leaves cover below minimum.</v>
      </c>
      <c r="V4" s="12"/>
      <c r="W4" s="12"/>
      <c r="X4" s="8">
        <f>IF(W4&lt;&gt;"",W4,IF(V4="Reject",0,IF(AND(T4="YES",V4=""),0,R4)))</f>
        <v>0</v>
      </c>
      <c r="Y4" s="8" t="str">
        <f>SKU_Master!G4</f>
        <v>DIST002</v>
      </c>
    </row>
    <row r="5" spans="1:25" x14ac:dyDescent="0.25">
      <c r="A5" s="8" t="str">
        <f>SKU_Master!A5</f>
        <v>SKU004</v>
      </c>
      <c r="B5" s="8" t="str">
        <f>SKU_Master!B5</f>
        <v>Freshroots Almond Milk 500ml</v>
      </c>
      <c r="C5" s="8" t="str">
        <f>SKU_Master!D5</f>
        <v>High</v>
      </c>
      <c r="D5" s="8">
        <f>INDEX(Inventory!$C:$C,MATCH(A5,Inventory!$A:$A,0))</f>
        <v>180</v>
      </c>
      <c r="E5" s="8">
        <f>SKU_Master!E5</f>
        <v>150</v>
      </c>
      <c r="F5" s="9">
        <f>SUMIFS(Sales_Wide!$B5:$Q5,Sales_Wide!$B$18:$Q$18,"&gt;"&amp;(16-Rules!$B$13))/Rules!$B$13</f>
        <v>81</v>
      </c>
      <c r="G5" s="9">
        <f>SUMIFS(Sales_Wide!$B5:$Q5,Sales_Wide!$B$18:$Q$18,"&gt;"&amp;(16-Rules!$B$14))/Rules!$B$14</f>
        <v>79.83333333333333</v>
      </c>
      <c r="H5" s="10">
        <f>F5/G5-1</f>
        <v>0.014613778705636848</v>
      </c>
      <c r="I5" s="9">
        <f>G5*Rules!$B$6</f>
        <v>99.79166666666666</v>
      </c>
      <c r="J5" s="11">
        <f>D5/I5</f>
        <v>1.8037578288100211</v>
      </c>
      <c r="K5" s="8">
        <f>IF(C5="High",Rules!$B$11,Rules!$B$9)</f>
        <v>3</v>
      </c>
      <c r="L5" s="8">
        <f>IF(C5="High",Rules!$B$12,Rules!$B$10)</f>
        <v>4</v>
      </c>
      <c r="M5" s="8" t="b">
        <f>H5&gt;Rules!$B$7</f>
        <v>0</v>
      </c>
      <c r="N5" s="8" t="b">
        <f>J5&lt;K5</f>
        <v>1</v>
      </c>
      <c r="O5" s="8" t="b">
        <f>J5&gt;L5</f>
        <v>0</v>
      </c>
      <c r="P5" s="8" t="str">
        <f>IF(O5,"Overstock risk",IF(AND(M5,N5),"High demand + Stockout risk",IF(N5,"Stockout risk",IF(M5,"High demand","Healthy"))))</f>
        <v>Stockout risk</v>
      </c>
      <c r="Q5" s="8" t="str">
        <f>IF(O5,"Pause next order",IF(OR(M5,N5),"Reorder immediately","No action"))</f>
        <v>Reorder immediately</v>
      </c>
      <c r="R5" s="8">
        <f>IF(O5,0,IF(M5,E5*Rules!$B$8,IF(N5,E5,0)))</f>
        <v>150</v>
      </c>
      <c r="S5" s="11">
        <f>(D5+R5)/I5</f>
        <v>3.306889352818372</v>
      </c>
      <c r="T5" s="8" t="str">
        <f>IF(OR(AND(M5,O5),AND(M5,Rules!$B$4),AND(R5&gt;0,S5&lt;K5),AND(R5&gt;0,S5&gt;L5)),"YES","No")</f>
        <v>No</v>
      </c>
      <c r="U5" s="2" t="str">
        <f>IF(T5="YES",IF(AND(M5,O5),"High demand but overstocked: rules disagree.",IF(AND(M5,Rules!$B$4),"High demand in a festival month: 1.5x reorder and +25% boost may double-count the spike.",IF(AND(R5&gt;0,S5&lt;K5),"Standard qty leaves cover below minimum.","Cover after order exceeds maximum."))),IF(O5,"Cover above maximum: pause next order.",IF(R5&gt;0,"Within limits after reorder: rule-based.","Stock within limits.")))</f>
        <v>Within limits after reorder: rule-based.</v>
      </c>
      <c r="V5" s="12"/>
      <c r="W5" s="12"/>
      <c r="X5" s="8">
        <f>IF(W5&lt;&gt;"",W5,IF(V5="Reject",0,IF(AND(T5="YES",V5=""),0,R5)))</f>
        <v>150</v>
      </c>
      <c r="Y5" s="8" t="str">
        <f>SKU_Master!G5</f>
        <v>DIST002</v>
      </c>
    </row>
    <row r="6" spans="1:25" x14ac:dyDescent="0.25">
      <c r="A6" s="8" t="str">
        <f>SKU_Master!A6</f>
        <v>SKU005</v>
      </c>
      <c r="B6" s="8" t="str">
        <f>SKU_Master!B6</f>
        <v>Freshroots Mixed Nuts 100g</v>
      </c>
      <c r="C6" s="8" t="str">
        <f>SKU_Master!D6</f>
        <v>Low</v>
      </c>
      <c r="D6" s="8">
        <f>INDEX(Inventory!$C:$C,MATCH(A6,Inventory!$A:$A,0))</f>
        <v>600</v>
      </c>
      <c r="E6" s="8">
        <f>SKU_Master!E6</f>
        <v>150</v>
      </c>
      <c r="F6" s="9">
        <f>SUMIFS(Sales_Wide!$B6:$Q6,Sales_Wide!$B$18:$Q$18,"&gt;"&amp;(16-Rules!$B$13))/Rules!$B$13</f>
        <v>58.25</v>
      </c>
      <c r="G6" s="9">
        <f>SUMIFS(Sales_Wide!$B6:$Q6,Sales_Wide!$B$18:$Q$18,"&gt;"&amp;(16-Rules!$B$14))/Rules!$B$14</f>
        <v>59.5</v>
      </c>
      <c r="H6" s="10">
        <f>F6/G6-1</f>
        <v>-0.021008403361344574</v>
      </c>
      <c r="I6" s="9">
        <f>G6*Rules!$B$6</f>
        <v>74.375</v>
      </c>
      <c r="J6" s="11">
        <f>D6/I6</f>
        <v>8.067226890756302</v>
      </c>
      <c r="K6" s="8">
        <f>IF(C6="High",Rules!$B$11,Rules!$B$9)</f>
        <v>6</v>
      </c>
      <c r="L6" s="8">
        <f>IF(C6="High",Rules!$B$12,Rules!$B$10)</f>
        <v>14</v>
      </c>
      <c r="M6" s="8" t="b">
        <f>H6&gt;Rules!$B$7</f>
        <v>0</v>
      </c>
      <c r="N6" s="8" t="b">
        <f>J6&lt;K6</f>
        <v>0</v>
      </c>
      <c r="O6" s="8" t="b">
        <f>J6&gt;L6</f>
        <v>0</v>
      </c>
      <c r="P6" s="8" t="str">
        <f>IF(O6,"Overstock risk",IF(AND(M6,N6),"High demand + Stockout risk",IF(N6,"Stockout risk",IF(M6,"High demand","Healthy"))))</f>
        <v>Healthy</v>
      </c>
      <c r="Q6" s="8" t="str">
        <f>IF(O6,"Pause next order",IF(OR(M6,N6),"Reorder immediately","No action"))</f>
        <v>No action</v>
      </c>
      <c r="R6" s="8">
        <f>IF(O6,0,IF(M6,E6*Rules!$B$8,IF(N6,E6,0)))</f>
        <v>0</v>
      </c>
      <c r="S6" s="11">
        <f>(D6+R6)/I6</f>
        <v>8.067226890756302</v>
      </c>
      <c r="T6" s="8" t="str">
        <f>IF(OR(AND(M6,O6),AND(M6,Rules!$B$4),AND(R6&gt;0,S6&lt;K6),AND(R6&gt;0,S6&gt;L6)),"YES","No")</f>
        <v>No</v>
      </c>
      <c r="U6" s="2" t="str">
        <f>IF(T6="YES",IF(AND(M6,O6),"High demand but overstocked: rules disagree.",IF(AND(M6,Rules!$B$4),"High demand in a festival month: 1.5x reorder and +25% boost may double-count the spike.",IF(AND(R6&gt;0,S6&lt;K6),"Standard qty leaves cover below minimum.","Cover after order exceeds maximum."))),IF(O6,"Cover above maximum: pause next order.",IF(R6&gt;0,"Within limits after reorder: rule-based.","Stock within limits.")))</f>
        <v>Stock within limits.</v>
      </c>
      <c r="V6" s="12"/>
      <c r="W6" s="12"/>
      <c r="X6" s="8">
        <f>IF(W6&lt;&gt;"",W6,IF(V6="Reject",0,IF(AND(T6="YES",V6=""),0,R6)))</f>
        <v>0</v>
      </c>
      <c r="Y6" s="8" t="str">
        <f>SKU_Master!G6</f>
        <v>DIST003</v>
      </c>
    </row>
    <row r="7" spans="1:25" x14ac:dyDescent="0.25">
      <c r="A7" s="8" t="str">
        <f>SKU_Master!A7</f>
        <v>SKU006</v>
      </c>
      <c r="B7" s="8" t="str">
        <f>SKU_Master!B7</f>
        <v>Freshroots Quinoa 500g</v>
      </c>
      <c r="C7" s="8" t="str">
        <f>SKU_Master!D7</f>
        <v>Low</v>
      </c>
      <c r="D7" s="8">
        <f>INDEX(Inventory!$C:$C,MATCH(A7,Inventory!$A:$A,0))</f>
        <v>1100</v>
      </c>
      <c r="E7" s="8">
        <f>SKU_Master!E7</f>
        <v>100</v>
      </c>
      <c r="F7" s="9">
        <f>SUMIFS(Sales_Wide!$B7:$Q7,Sales_Wide!$B$18:$Q$18,"&gt;"&amp;(16-Rules!$B$13))/Rules!$B$13</f>
        <v>40.25</v>
      </c>
      <c r="G7" s="9">
        <f>SUMIFS(Sales_Wide!$B7:$Q7,Sales_Wide!$B$18:$Q$18,"&gt;"&amp;(16-Rules!$B$14))/Rules!$B$14</f>
        <v>39.583333333333336</v>
      </c>
      <c r="H7" s="10">
        <f>F7/G7-1</f>
        <v>0.01684210526315777</v>
      </c>
      <c r="I7" s="9">
        <f>G7*Rules!$B$6</f>
        <v>49.47916666666667</v>
      </c>
      <c r="J7" s="11">
        <f>D7/I7</f>
        <v>22.23157894736842</v>
      </c>
      <c r="K7" s="8">
        <f>IF(C7="High",Rules!$B$11,Rules!$B$9)</f>
        <v>6</v>
      </c>
      <c r="L7" s="8">
        <f>IF(C7="High",Rules!$B$12,Rules!$B$10)</f>
        <v>14</v>
      </c>
      <c r="M7" s="8" t="b">
        <f>H7&gt;Rules!$B$7</f>
        <v>0</v>
      </c>
      <c r="N7" s="8" t="b">
        <f>J7&lt;K7</f>
        <v>0</v>
      </c>
      <c r="O7" s="8" t="b">
        <f>J7&gt;L7</f>
        <v>1</v>
      </c>
      <c r="P7" s="8" t="str">
        <f>IF(O7,"Overstock risk",IF(AND(M7,N7),"High demand + Stockout risk",IF(N7,"Stockout risk",IF(M7,"High demand","Healthy"))))</f>
        <v>Overstock risk</v>
      </c>
      <c r="Q7" s="8" t="str">
        <f>IF(O7,"Pause next order",IF(OR(M7,N7),"Reorder immediately","No action"))</f>
        <v>Pause next order</v>
      </c>
      <c r="R7" s="8">
        <f>IF(O7,0,IF(M7,E7*Rules!$B$8,IF(N7,E7,0)))</f>
        <v>0</v>
      </c>
      <c r="S7" s="11">
        <f>(D7+R7)/I7</f>
        <v>22.23157894736842</v>
      </c>
      <c r="T7" s="8" t="str">
        <f>IF(OR(AND(M7,O7),AND(M7,Rules!$B$4),AND(R7&gt;0,S7&lt;K7),AND(R7&gt;0,S7&gt;L7)),"YES","No")</f>
        <v>No</v>
      </c>
      <c r="U7" s="2" t="str">
        <f>IF(T7="YES",IF(AND(M7,O7),"High demand but overstocked: rules disagree.",IF(AND(M7,Rules!$B$4),"High demand in a festival month: 1.5x reorder and +25% boost may double-count the spike.",IF(AND(R7&gt;0,S7&lt;K7),"Standard qty leaves cover below minimum.","Cover after order exceeds maximum."))),IF(O7,"Cover above maximum: pause next order.",IF(R7&gt;0,"Within limits after reorder: rule-based.","Stock within limits.")))</f>
        <v>Cover above maximum: pause next order.</v>
      </c>
      <c r="V7" s="12"/>
      <c r="W7" s="12"/>
      <c r="X7" s="8">
        <f>IF(W7&lt;&gt;"",W7,IF(V7="Reject",0,IF(AND(T7="YES",V7=""),0,R7)))</f>
        <v>0</v>
      </c>
      <c r="Y7" s="8" t="str">
        <f>SKU_Master!G7</f>
        <v>DIST003</v>
      </c>
    </row>
    <row r="8" spans="1:25" x14ac:dyDescent="0.25">
      <c r="A8" s="8" t="str">
        <f>SKU_Master!A8</f>
        <v>SKU007</v>
      </c>
      <c r="B8" s="8" t="str">
        <f>SKU_Master!B8</f>
        <v>Freshroots Coconut Water 330ml</v>
      </c>
      <c r="C8" s="8" t="str">
        <f>SKU_Master!D8</f>
        <v>High</v>
      </c>
      <c r="D8" s="8">
        <f>INDEX(Inventory!$C:$C,MATCH(A8,Inventory!$A:$A,0))</f>
        <v>620</v>
      </c>
      <c r="E8" s="8">
        <f>SKU_Master!E8</f>
        <v>400</v>
      </c>
      <c r="F8" s="9">
        <f>SUMIFS(Sales_Wide!$B8:$Q8,Sales_Wide!$B$18:$Q$18,"&gt;"&amp;(16-Rules!$B$13))/Rules!$B$13</f>
        <v>133.5</v>
      </c>
      <c r="G8" s="9">
        <f>SUMIFS(Sales_Wide!$B8:$Q8,Sales_Wide!$B$18:$Q$18,"&gt;"&amp;(16-Rules!$B$14))/Rules!$B$14</f>
        <v>121.5</v>
      </c>
      <c r="H8" s="10">
        <f>F8/G8-1</f>
        <v>0.09876543209876543</v>
      </c>
      <c r="I8" s="9">
        <f>G8*Rules!$B$6</f>
        <v>151.875</v>
      </c>
      <c r="J8" s="11">
        <f>D8/I8</f>
        <v>4.082304526748971</v>
      </c>
      <c r="K8" s="8">
        <f>IF(C8="High",Rules!$B$11,Rules!$B$9)</f>
        <v>3</v>
      </c>
      <c r="L8" s="8">
        <f>IF(C8="High",Rules!$B$12,Rules!$B$10)</f>
        <v>4</v>
      </c>
      <c r="M8" s="8" t="b">
        <f>H8&gt;Rules!$B$7</f>
        <v>0</v>
      </c>
      <c r="N8" s="8" t="b">
        <f>J8&lt;K8</f>
        <v>0</v>
      </c>
      <c r="O8" s="8" t="b">
        <f>J8&gt;L8</f>
        <v>1</v>
      </c>
      <c r="P8" s="8" t="str">
        <f>IF(O8,"Overstock risk",IF(AND(M8,N8),"High demand + Stockout risk",IF(N8,"Stockout risk",IF(M8,"High demand","Healthy"))))</f>
        <v>Overstock risk</v>
      </c>
      <c r="Q8" s="8" t="str">
        <f>IF(O8,"Pause next order",IF(OR(M8,N8),"Reorder immediately","No action"))</f>
        <v>Pause next order</v>
      </c>
      <c r="R8" s="8">
        <f>IF(O8,0,IF(M8,E8*Rules!$B$8,IF(N8,E8,0)))</f>
        <v>0</v>
      </c>
      <c r="S8" s="11">
        <f>(D8+R8)/I8</f>
        <v>4.082304526748971</v>
      </c>
      <c r="T8" s="8" t="str">
        <f>IF(OR(AND(M8,O8),AND(M8,Rules!$B$4),AND(R8&gt;0,S8&lt;K8),AND(R8&gt;0,S8&gt;L8)),"YES","No")</f>
        <v>No</v>
      </c>
      <c r="U8" s="2" t="str">
        <f>IF(T8="YES",IF(AND(M8,O8),"High demand but overstocked: rules disagree.",IF(AND(M8,Rules!$B$4),"High demand in a festival month: 1.5x reorder and +25% boost may double-count the spike.",IF(AND(R8&gt;0,S8&lt;K8),"Standard qty leaves cover below minimum.","Cover after order exceeds maximum."))),IF(O8,"Cover above maximum: pause next order.",IF(R8&gt;0,"Within limits after reorder: rule-based.","Stock within limits.")))</f>
        <v>Cover above maximum: pause next order.</v>
      </c>
      <c r="V8" s="12"/>
      <c r="W8" s="12"/>
      <c r="X8" s="8">
        <f>IF(W8&lt;&gt;"",W8,IF(V8="Reject",0,IF(AND(T8="YES",V8=""),0,R8)))</f>
        <v>0</v>
      </c>
      <c r="Y8" s="8" t="str">
        <f>SKU_Master!G8</f>
        <v>DIST001</v>
      </c>
    </row>
    <row r="9" spans="1:25" x14ac:dyDescent="0.25">
      <c r="A9" s="8" t="str">
        <f>SKU_Master!A9</f>
        <v>SKU008</v>
      </c>
      <c r="B9" s="8" t="str">
        <f>SKU_Master!B9</f>
        <v>Freshroots Granola Bar 40g</v>
      </c>
      <c r="C9" s="8" t="str">
        <f>SKU_Master!D9</f>
        <v>Low</v>
      </c>
      <c r="D9" s="8">
        <f>INDEX(Inventory!$C:$C,MATCH(A9,Inventory!$A:$A,0))</f>
        <v>950</v>
      </c>
      <c r="E9" s="8">
        <f>SKU_Master!E9</f>
        <v>300</v>
      </c>
      <c r="F9" s="9">
        <f>SUMIFS(Sales_Wide!$B9:$Q9,Sales_Wide!$B$18:$Q$18,"&gt;"&amp;(16-Rules!$B$13))/Rules!$B$13</f>
        <v>103</v>
      </c>
      <c r="G9" s="9">
        <f>SUMIFS(Sales_Wide!$B9:$Q9,Sales_Wide!$B$18:$Q$18,"&gt;"&amp;(16-Rules!$B$14))/Rules!$B$14</f>
        <v>108.75</v>
      </c>
      <c r="H9" s="10">
        <f>F9/G9-1</f>
        <v>-0.05287356321839076</v>
      </c>
      <c r="I9" s="9">
        <f>G9*Rules!$B$6</f>
        <v>135.9375</v>
      </c>
      <c r="J9" s="11">
        <f>D9/I9</f>
        <v>6.988505747126437</v>
      </c>
      <c r="K9" s="8">
        <f>IF(C9="High",Rules!$B$11,Rules!$B$9)</f>
        <v>6</v>
      </c>
      <c r="L9" s="8">
        <f>IF(C9="High",Rules!$B$12,Rules!$B$10)</f>
        <v>14</v>
      </c>
      <c r="M9" s="8" t="b">
        <f>H9&gt;Rules!$B$7</f>
        <v>0</v>
      </c>
      <c r="N9" s="8" t="b">
        <f>J9&lt;K9</f>
        <v>0</v>
      </c>
      <c r="O9" s="8" t="b">
        <f>J9&gt;L9</f>
        <v>0</v>
      </c>
      <c r="P9" s="8" t="str">
        <f>IF(O9,"Overstock risk",IF(AND(M9,N9),"High demand + Stockout risk",IF(N9,"Stockout risk",IF(M9,"High demand","Healthy"))))</f>
        <v>Healthy</v>
      </c>
      <c r="Q9" s="8" t="str">
        <f>IF(O9,"Pause next order",IF(OR(M9,N9),"Reorder immediately","No action"))</f>
        <v>No action</v>
      </c>
      <c r="R9" s="8">
        <f>IF(O9,0,IF(M9,E9*Rules!$B$8,IF(N9,E9,0)))</f>
        <v>0</v>
      </c>
      <c r="S9" s="11">
        <f>(D9+R9)/I9</f>
        <v>6.988505747126437</v>
      </c>
      <c r="T9" s="8" t="str">
        <f>IF(OR(AND(M9,O9),AND(M9,Rules!$B$4),AND(R9&gt;0,S9&lt;K9),AND(R9&gt;0,S9&gt;L9)),"YES","No")</f>
        <v>No</v>
      </c>
      <c r="U9" s="2" t="str">
        <f>IF(T9="YES",IF(AND(M9,O9),"High demand but overstocked: rules disagree.",IF(AND(M9,Rules!$B$4),"High demand in a festival month: 1.5x reorder and +25% boost may double-count the spike.",IF(AND(R9&gt;0,S9&lt;K9),"Standard qty leaves cover below minimum.","Cover after order exceeds maximum."))),IF(O9,"Cover above maximum: pause next order.",IF(R9&gt;0,"Within limits after reorder: rule-based.","Stock within limits.")))</f>
        <v>Stock within limits.</v>
      </c>
      <c r="V9" s="12"/>
      <c r="W9" s="12"/>
      <c r="X9" s="8">
        <f>IF(W9&lt;&gt;"",W9,IF(V9="Reject",0,IF(AND(T9="YES",V9=""),0,R9)))</f>
        <v>0</v>
      </c>
      <c r="Y9" s="8" t="str">
        <f>SKU_Master!G9</f>
        <v>DIST002</v>
      </c>
    </row>
    <row r="10" spans="1:25" x14ac:dyDescent="0.25">
      <c r="A10" s="8" t="str">
        <f>SKU_Master!A10</f>
        <v>SKU009</v>
      </c>
      <c r="B10" s="8" t="str">
        <f>SKU_Master!B10</f>
        <v>Freshroots Chia Seeds 200g</v>
      </c>
      <c r="C10" s="8" t="str">
        <f>SKU_Master!D10</f>
        <v>Low</v>
      </c>
      <c r="D10" s="8">
        <f>INDEX(Inventory!$C:$C,MATCH(A10,Inventory!$A:$A,0))</f>
        <v>400</v>
      </c>
      <c r="E10" s="8">
        <f>SKU_Master!E10</f>
        <v>80</v>
      </c>
      <c r="F10" s="9">
        <f>SUMIFS(Sales_Wide!$B10:$Q10,Sales_Wide!$B$18:$Q$18,"&gt;"&amp;(16-Rules!$B$13))/Rules!$B$13</f>
        <v>34.75</v>
      </c>
      <c r="G10" s="9">
        <f>SUMIFS(Sales_Wide!$B10:$Q10,Sales_Wide!$B$18:$Q$18,"&gt;"&amp;(16-Rules!$B$14))/Rules!$B$14</f>
        <v>34.083333333333336</v>
      </c>
      <c r="H10" s="10">
        <f>F10/G10-1</f>
        <v>0.019559902200488866</v>
      </c>
      <c r="I10" s="9">
        <f>G10*Rules!$B$6</f>
        <v>42.60416666666667</v>
      </c>
      <c r="J10" s="11">
        <f>D10/I10</f>
        <v>9.388753056234718</v>
      </c>
      <c r="K10" s="8">
        <f>IF(C10="High",Rules!$B$11,Rules!$B$9)</f>
        <v>6</v>
      </c>
      <c r="L10" s="8">
        <f>IF(C10="High",Rules!$B$12,Rules!$B$10)</f>
        <v>14</v>
      </c>
      <c r="M10" s="8" t="b">
        <f>H10&gt;Rules!$B$7</f>
        <v>0</v>
      </c>
      <c r="N10" s="8" t="b">
        <f>J10&lt;K10</f>
        <v>0</v>
      </c>
      <c r="O10" s="8" t="b">
        <f>J10&gt;L10</f>
        <v>0</v>
      </c>
      <c r="P10" s="8" t="str">
        <f>IF(O10,"Overstock risk",IF(AND(M10,N10),"High demand + Stockout risk",IF(N10,"Stockout risk",IF(M10,"High demand","Healthy"))))</f>
        <v>Healthy</v>
      </c>
      <c r="Q10" s="8" t="str">
        <f>IF(O10,"Pause next order",IF(OR(M10,N10),"Reorder immediately","No action"))</f>
        <v>No action</v>
      </c>
      <c r="R10" s="8">
        <f>IF(O10,0,IF(M10,E10*Rules!$B$8,IF(N10,E10,0)))</f>
        <v>0</v>
      </c>
      <c r="S10" s="11">
        <f>(D10+R10)/I10</f>
        <v>9.388753056234718</v>
      </c>
      <c r="T10" s="8" t="str">
        <f>IF(OR(AND(M10,O10),AND(M10,Rules!$B$4),AND(R10&gt;0,S10&lt;K10),AND(R10&gt;0,S10&gt;L10)),"YES","No")</f>
        <v>No</v>
      </c>
      <c r="U10" s="2" t="str">
        <f>IF(T10="YES",IF(AND(M10,O10),"High demand but overstocked: rules disagree.",IF(AND(M10,Rules!$B$4),"High demand in a festival month: 1.5x reorder and +25% boost may double-count the spike.",IF(AND(R10&gt;0,S10&lt;K10),"Standard qty leaves cover below minimum.","Cover after order exceeds maximum."))),IF(O10,"Cover above maximum: pause next order.",IF(R10&gt;0,"Within limits after reorder: rule-based.","Stock within limits.")))</f>
        <v>Stock within limits.</v>
      </c>
      <c r="V10" s="12"/>
      <c r="W10" s="12"/>
      <c r="X10" s="8">
        <f>IF(W10&lt;&gt;"",W10,IF(V10="Reject",0,IF(AND(T10="YES",V10=""),0,R10)))</f>
        <v>0</v>
      </c>
      <c r="Y10" s="8" t="str">
        <f>SKU_Master!G10</f>
        <v>DIST003</v>
      </c>
    </row>
    <row r="11" spans="1:25" x14ac:dyDescent="0.25">
      <c r="A11" s="8" t="str">
        <f>SKU_Master!A11</f>
        <v>SKU010</v>
      </c>
      <c r="B11" s="8" t="str">
        <f>SKU_Master!B11</f>
        <v>Freshroots Apple Cider Vinegar 500ml</v>
      </c>
      <c r="C11" s="8" t="str">
        <f>SKU_Master!D11</f>
        <v>Low</v>
      </c>
      <c r="D11" s="8">
        <f>INDEX(Inventory!$C:$C,MATCH(A11,Inventory!$A:$A,0))</f>
        <v>260</v>
      </c>
      <c r="E11" s="8">
        <f>SKU_Master!E11</f>
        <v>60</v>
      </c>
      <c r="F11" s="9">
        <f>SUMIFS(Sales_Wide!$B11:$Q11,Sales_Wide!$B$18:$Q$18,"&gt;"&amp;(16-Rules!$B$13))/Rules!$B$13</f>
        <v>24.75</v>
      </c>
      <c r="G11" s="9">
        <f>SUMIFS(Sales_Wide!$B11:$Q11,Sales_Wide!$B$18:$Q$18,"&gt;"&amp;(16-Rules!$B$14))/Rules!$B$14</f>
        <v>24.416666666666668</v>
      </c>
      <c r="H11" s="10">
        <f>F11/G11-1</f>
        <v>0.013651877133105783</v>
      </c>
      <c r="I11" s="9">
        <f>G11*Rules!$B$6</f>
        <v>30.520833333333336</v>
      </c>
      <c r="J11" s="11">
        <f>D11/I11</f>
        <v>8.51877133105802</v>
      </c>
      <c r="K11" s="8">
        <f>IF(C11="High",Rules!$B$11,Rules!$B$9)</f>
        <v>6</v>
      </c>
      <c r="L11" s="8">
        <f>IF(C11="High",Rules!$B$12,Rules!$B$10)</f>
        <v>14</v>
      </c>
      <c r="M11" s="8" t="b">
        <f>H11&gt;Rules!$B$7</f>
        <v>0</v>
      </c>
      <c r="N11" s="8" t="b">
        <f>J11&lt;K11</f>
        <v>0</v>
      </c>
      <c r="O11" s="8" t="b">
        <f>J11&gt;L11</f>
        <v>0</v>
      </c>
      <c r="P11" s="8" t="str">
        <f>IF(O11,"Overstock risk",IF(AND(M11,N11),"High demand + Stockout risk",IF(N11,"Stockout risk",IF(M11,"High demand","Healthy"))))</f>
        <v>Healthy</v>
      </c>
      <c r="Q11" s="8" t="str">
        <f>IF(O11,"Pause next order",IF(OR(M11,N11),"Reorder immediately","No action"))</f>
        <v>No action</v>
      </c>
      <c r="R11" s="8">
        <f>IF(O11,0,IF(M11,E11*Rules!$B$8,IF(N11,E11,0)))</f>
        <v>0</v>
      </c>
      <c r="S11" s="11">
        <f>(D11+R11)/I11</f>
        <v>8.51877133105802</v>
      </c>
      <c r="T11" s="8" t="str">
        <f>IF(OR(AND(M11,O11),AND(M11,Rules!$B$4),AND(R11&gt;0,S11&lt;K11),AND(R11&gt;0,S11&gt;L11)),"YES","No")</f>
        <v>No</v>
      </c>
      <c r="U11" s="2" t="str">
        <f>IF(T11="YES",IF(AND(M11,O11),"High demand but overstocked: rules disagree.",IF(AND(M11,Rules!$B$4),"High demand in a festival month: 1.5x reorder and +25% boost may double-count the spike.",IF(AND(R11&gt;0,S11&lt;K11),"Standard qty leaves cover below minimum.","Cover after order exceeds maximum."))),IF(O11,"Cover above maximum: pause next order.",IF(R11&gt;0,"Within limits after reorder: rule-based.","Stock within limits.")))</f>
        <v>Stock within limits.</v>
      </c>
      <c r="V11" s="12"/>
      <c r="W11" s="12"/>
      <c r="X11" s="8">
        <f>IF(W11&lt;&gt;"",W11,IF(V11="Reject",0,IF(AND(T11="YES",V11=""),0,R11)))</f>
        <v>0</v>
      </c>
      <c r="Y11" s="8" t="str">
        <f>SKU_Master!G11</f>
        <v>DIST004</v>
      </c>
    </row>
    <row r="12" spans="1:25" x14ac:dyDescent="0.25">
      <c r="A12" s="8" t="str">
        <f>SKU_Master!A12</f>
        <v>SKU011</v>
      </c>
      <c r="B12" s="8" t="str">
        <f>SKU_Master!B12</f>
        <v>Freshroots Multigrain Bread 400g</v>
      </c>
      <c r="C12" s="8" t="str">
        <f>SKU_Master!D12</f>
        <v>High</v>
      </c>
      <c r="D12" s="8">
        <f>INDEX(Inventory!$C:$C,MATCH(A12,Inventory!$A:$A,0))</f>
        <v>460</v>
      </c>
      <c r="E12" s="8">
        <f>SKU_Master!E12</f>
        <v>500</v>
      </c>
      <c r="F12" s="9">
        <f>SUMIFS(Sales_Wide!$B12:$Q12,Sales_Wide!$B$18:$Q$18,"&gt;"&amp;(16-Rules!$B$13))/Rules!$B$13</f>
        <v>209.25</v>
      </c>
      <c r="G12" s="9">
        <f>SUMIFS(Sales_Wide!$B12:$Q12,Sales_Wide!$B$18:$Q$18,"&gt;"&amp;(16-Rules!$B$14))/Rules!$B$14</f>
        <v>204.33333333333334</v>
      </c>
      <c r="H12" s="10">
        <f>F12/G12-1</f>
        <v>0.024061990212071782</v>
      </c>
      <c r="I12" s="9">
        <f>G12*Rules!$B$6</f>
        <v>255.41666666666669</v>
      </c>
      <c r="J12" s="11">
        <f>D12/I12</f>
        <v>1.8009787928221859</v>
      </c>
      <c r="K12" s="8">
        <f>IF(C12="High",Rules!$B$11,Rules!$B$9)</f>
        <v>3</v>
      </c>
      <c r="L12" s="8">
        <f>IF(C12="High",Rules!$B$12,Rules!$B$10)</f>
        <v>4</v>
      </c>
      <c r="M12" s="8" t="b">
        <f>H12&gt;Rules!$B$7</f>
        <v>0</v>
      </c>
      <c r="N12" s="8" t="b">
        <f>J12&lt;K12</f>
        <v>1</v>
      </c>
      <c r="O12" s="8" t="b">
        <f>J12&gt;L12</f>
        <v>0</v>
      </c>
      <c r="P12" s="8" t="str">
        <f>IF(O12,"Overstock risk",IF(AND(M12,N12),"High demand + Stockout risk",IF(N12,"Stockout risk",IF(M12,"High demand","Healthy"))))</f>
        <v>Stockout risk</v>
      </c>
      <c r="Q12" s="8" t="str">
        <f>IF(O12,"Pause next order",IF(OR(M12,N12),"Reorder immediately","No action"))</f>
        <v>Reorder immediately</v>
      </c>
      <c r="R12" s="8">
        <f>IF(O12,0,IF(M12,E12*Rules!$B$8,IF(N12,E12,0)))</f>
        <v>500</v>
      </c>
      <c r="S12" s="11">
        <f>(D12+R12)/I12</f>
        <v>3.758564437194127</v>
      </c>
      <c r="T12" s="8" t="str">
        <f>IF(OR(AND(M12,O12),AND(M12,Rules!$B$4),AND(R12&gt;0,S12&lt;K12),AND(R12&gt;0,S12&gt;L12)),"YES","No")</f>
        <v>No</v>
      </c>
      <c r="U12" s="2" t="str">
        <f>IF(T12="YES",IF(AND(M12,O12),"High demand but overstocked: rules disagree.",IF(AND(M12,Rules!$B$4),"High demand in a festival month: 1.5x reorder and +25% boost may double-count the spike.",IF(AND(R12&gt;0,S12&lt;K12),"Standard qty leaves cover below minimum.","Cover after order exceeds maximum."))),IF(O12,"Cover above maximum: pause next order.",IF(R12&gt;0,"Within limits after reorder: rule-based.","Stock within limits.")))</f>
        <v>Within limits after reorder: rule-based.</v>
      </c>
      <c r="V12" s="12"/>
      <c r="W12" s="12"/>
      <c r="X12" s="8">
        <f>IF(W12&lt;&gt;"",W12,IF(V12="Reject",0,IF(AND(T12="YES",V12=""),0,R12)))</f>
        <v>500</v>
      </c>
      <c r="Y12" s="8" t="str">
        <f>SKU_Master!G12</f>
        <v>DIST004</v>
      </c>
    </row>
    <row r="13" spans="1:25" x14ac:dyDescent="0.25">
      <c r="A13" s="8" t="str">
        <f>SKU_Master!A13</f>
        <v>SKU012</v>
      </c>
      <c r="B13" s="8" t="str">
        <f>SKU_Master!B13</f>
        <v>Freshroots Herbal Tea 25 bags</v>
      </c>
      <c r="C13" s="8" t="str">
        <f>SKU_Master!D13</f>
        <v>Low</v>
      </c>
      <c r="D13" s="8">
        <f>INDEX(Inventory!$C:$C,MATCH(A13,Inventory!$A:$A,0))</f>
        <v>480</v>
      </c>
      <c r="E13" s="8">
        <f>SKU_Master!E13</f>
        <v>150</v>
      </c>
      <c r="F13" s="9">
        <f>SUMIFS(Sales_Wide!$B13:$Q13,Sales_Wide!$B$18:$Q$18,"&gt;"&amp;(16-Rules!$B$13))/Rules!$B$13</f>
        <v>60</v>
      </c>
      <c r="G13" s="9">
        <f>SUMIFS(Sales_Wide!$B13:$Q13,Sales_Wide!$B$18:$Q$18,"&gt;"&amp;(16-Rules!$B$14))/Rules!$B$14</f>
        <v>56.75</v>
      </c>
      <c r="H13" s="10">
        <f>F13/G13-1</f>
        <v>0.05726872246696035</v>
      </c>
      <c r="I13" s="9">
        <f>G13*Rules!$B$6</f>
        <v>70.9375</v>
      </c>
      <c r="J13" s="11">
        <f>D13/I13</f>
        <v>6.766519823788546</v>
      </c>
      <c r="K13" s="8">
        <f>IF(C13="High",Rules!$B$11,Rules!$B$9)</f>
        <v>6</v>
      </c>
      <c r="L13" s="8">
        <f>IF(C13="High",Rules!$B$12,Rules!$B$10)</f>
        <v>14</v>
      </c>
      <c r="M13" s="8" t="b">
        <f>H13&gt;Rules!$B$7</f>
        <v>0</v>
      </c>
      <c r="N13" s="8" t="b">
        <f>J13&lt;K13</f>
        <v>0</v>
      </c>
      <c r="O13" s="8" t="b">
        <f>J13&gt;L13</f>
        <v>0</v>
      </c>
      <c r="P13" s="8" t="str">
        <f>IF(O13,"Overstock risk",IF(AND(M13,N13),"High demand + Stockout risk",IF(N13,"Stockout risk",IF(M13,"High demand","Healthy"))))</f>
        <v>Healthy</v>
      </c>
      <c r="Q13" s="8" t="str">
        <f>IF(O13,"Pause next order",IF(OR(M13,N13),"Reorder immediately","No action"))</f>
        <v>No action</v>
      </c>
      <c r="R13" s="8">
        <f>IF(O13,0,IF(M13,E13*Rules!$B$8,IF(N13,E13,0)))</f>
        <v>0</v>
      </c>
      <c r="S13" s="11">
        <f>(D13+R13)/I13</f>
        <v>6.766519823788546</v>
      </c>
      <c r="T13" s="8" t="str">
        <f>IF(OR(AND(M13,O13),AND(M13,Rules!$B$4),AND(R13&gt;0,S13&lt;K13),AND(R13&gt;0,S13&gt;L13)),"YES","No")</f>
        <v>No</v>
      </c>
      <c r="U13" s="2" t="str">
        <f>IF(T13="YES",IF(AND(M13,O13),"High demand but overstocked: rules disagree.",IF(AND(M13,Rules!$B$4),"High demand in a festival month: 1.5x reorder and +25% boost may double-count the spike.",IF(AND(R13&gt;0,S13&lt;K13),"Standard qty leaves cover below minimum.","Cover after order exceeds maximum."))),IF(O13,"Cover above maximum: pause next order.",IF(R13&gt;0,"Within limits after reorder: rule-based.","Stock within limits.")))</f>
        <v>Stock within limits.</v>
      </c>
      <c r="V13" s="12"/>
      <c r="W13" s="12"/>
      <c r="X13" s="8">
        <f>IF(W13&lt;&gt;"",W13,IF(V13="Reject",0,IF(AND(T13="YES",V13=""),0,R13)))</f>
        <v>0</v>
      </c>
      <c r="Y13" s="8" t="str">
        <f>SKU_Master!G13</f>
        <v>DIST004</v>
      </c>
    </row>
    <row r="14" spans="1:25" x14ac:dyDescent="0.25">
      <c r="A14" s="8" t="str">
        <f>SKU_Master!A14</f>
        <v>SKU013</v>
      </c>
      <c r="B14" s="8" t="str">
        <f>SKU_Master!B14</f>
        <v>Freshroots Peanut Butter 300g</v>
      </c>
      <c r="C14" s="8" t="str">
        <f>SKU_Master!D14</f>
        <v>Low</v>
      </c>
      <c r="D14" s="8">
        <f>INDEX(Inventory!$C:$C,MATCH(A14,Inventory!$A:$A,0))</f>
        <v>180</v>
      </c>
      <c r="E14" s="8">
        <f>SKU_Master!E14</f>
        <v>120</v>
      </c>
      <c r="F14" s="9">
        <f>SUMIFS(Sales_Wide!$B14:$Q14,Sales_Wide!$B$18:$Q$18,"&gt;"&amp;(16-Rules!$B$13))/Rules!$B$13</f>
        <v>44.75</v>
      </c>
      <c r="G14" s="9">
        <f>SUMIFS(Sales_Wide!$B14:$Q14,Sales_Wide!$B$18:$Q$18,"&gt;"&amp;(16-Rules!$B$14))/Rules!$B$14</f>
        <v>45.416666666666664</v>
      </c>
      <c r="H14" s="10">
        <f>F14/G14-1</f>
        <v>-0.014678899082568808</v>
      </c>
      <c r="I14" s="9">
        <f>G14*Rules!$B$6</f>
        <v>56.77083333333333</v>
      </c>
      <c r="J14" s="11">
        <f>D14/I14</f>
        <v>3.1706422018348626</v>
      </c>
      <c r="K14" s="8">
        <f>IF(C14="High",Rules!$B$11,Rules!$B$9)</f>
        <v>6</v>
      </c>
      <c r="L14" s="8">
        <f>IF(C14="High",Rules!$B$12,Rules!$B$10)</f>
        <v>14</v>
      </c>
      <c r="M14" s="8" t="b">
        <f>H14&gt;Rules!$B$7</f>
        <v>0</v>
      </c>
      <c r="N14" s="8" t="b">
        <f>J14&lt;K14</f>
        <v>1</v>
      </c>
      <c r="O14" s="8" t="b">
        <f>J14&gt;L14</f>
        <v>0</v>
      </c>
      <c r="P14" s="8" t="str">
        <f>IF(O14,"Overstock risk",IF(AND(M14,N14),"High demand + Stockout risk",IF(N14,"Stockout risk",IF(M14,"High demand","Healthy"))))</f>
        <v>Stockout risk</v>
      </c>
      <c r="Q14" s="8" t="str">
        <f>IF(O14,"Pause next order",IF(OR(M14,N14),"Reorder immediately","No action"))</f>
        <v>Reorder immediately</v>
      </c>
      <c r="R14" s="8">
        <f>IF(O14,0,IF(M14,E14*Rules!$B$8,IF(N14,E14,0)))</f>
        <v>120</v>
      </c>
      <c r="S14" s="11">
        <f>(D14+R14)/I14</f>
        <v>5.284403669724771</v>
      </c>
      <c r="T14" s="8" t="str">
        <f>IF(OR(AND(M14,O14),AND(M14,Rules!$B$4),AND(R14&gt;0,S14&lt;K14),AND(R14&gt;0,S14&gt;L14)),"YES","No")</f>
        <v>YES</v>
      </c>
      <c r="U14" s="2" t="str">
        <f>IF(T14="YES",IF(AND(M14,O14),"High demand but overstocked: rules disagree.",IF(AND(M14,Rules!$B$4),"High demand in a festival month: 1.5x reorder and +25% boost may double-count the spike.",IF(AND(R14&gt;0,S14&lt;K14),"Standard qty leaves cover below minimum.","Cover after order exceeds maximum."))),IF(O14,"Cover above maximum: pause next order.",IF(R14&gt;0,"Within limits after reorder: rule-based.","Stock within limits.")))</f>
        <v>Standard qty leaves cover below minimum.</v>
      </c>
      <c r="V14" s="12"/>
      <c r="W14" s="12"/>
      <c r="X14" s="8">
        <f>IF(W14&lt;&gt;"",W14,IF(V14="Reject",0,IF(AND(T14="YES",V14=""),0,R14)))</f>
        <v>0</v>
      </c>
      <c r="Y14" s="8" t="str">
        <f>SKU_Master!G14</f>
        <v>DIST001</v>
      </c>
    </row>
    <row r="15" spans="1:25" x14ac:dyDescent="0.25">
      <c r="A15" s="8" t="str">
        <f>SKU_Master!A15</f>
        <v>SKU014</v>
      </c>
      <c r="B15" s="8" t="str">
        <f>SKU_Master!B15</f>
        <v>Freshroots Dark Chocolate 80g</v>
      </c>
      <c r="C15" s="8" t="str">
        <f>SKU_Master!D15</f>
        <v>Low</v>
      </c>
      <c r="D15" s="8">
        <f>INDEX(Inventory!$C:$C,MATCH(A15,Inventory!$A:$A,0))</f>
        <v>620</v>
      </c>
      <c r="E15" s="8">
        <f>SKU_Master!E15</f>
        <v>200</v>
      </c>
      <c r="F15" s="9">
        <f>SUMIFS(Sales_Wide!$B15:$Q15,Sales_Wide!$B$18:$Q$18,"&gt;"&amp;(16-Rules!$B$13))/Rules!$B$13</f>
        <v>77.5</v>
      </c>
      <c r="G15" s="9">
        <f>SUMIFS(Sales_Wide!$B15:$Q15,Sales_Wide!$B$18:$Q$18,"&gt;"&amp;(16-Rules!$B$14))/Rules!$B$14</f>
        <v>72.41666666666667</v>
      </c>
      <c r="H15" s="10">
        <f>F15/G15-1</f>
        <v>0.07019562715765248</v>
      </c>
      <c r="I15" s="9">
        <f>G15*Rules!$B$6</f>
        <v>90.52083333333334</v>
      </c>
      <c r="J15" s="11">
        <f>D15/I15</f>
        <v>6.849252013808975</v>
      </c>
      <c r="K15" s="8">
        <f>IF(C15="High",Rules!$B$11,Rules!$B$9)</f>
        <v>6</v>
      </c>
      <c r="L15" s="8">
        <f>IF(C15="High",Rules!$B$12,Rules!$B$10)</f>
        <v>14</v>
      </c>
      <c r="M15" s="8" t="b">
        <f>H15&gt;Rules!$B$7</f>
        <v>0</v>
      </c>
      <c r="N15" s="8" t="b">
        <f>J15&lt;K15</f>
        <v>0</v>
      </c>
      <c r="O15" s="8" t="b">
        <f>J15&gt;L15</f>
        <v>0</v>
      </c>
      <c r="P15" s="8" t="str">
        <f>IF(O15,"Overstock risk",IF(AND(M15,N15),"High demand + Stockout risk",IF(N15,"Stockout risk",IF(M15,"High demand","Healthy"))))</f>
        <v>Healthy</v>
      </c>
      <c r="Q15" s="8" t="str">
        <f>IF(O15,"Pause next order",IF(OR(M15,N15),"Reorder immediately","No action"))</f>
        <v>No action</v>
      </c>
      <c r="R15" s="8">
        <f>IF(O15,0,IF(M15,E15*Rules!$B$8,IF(N15,E15,0)))</f>
        <v>0</v>
      </c>
      <c r="S15" s="11">
        <f>(D15+R15)/I15</f>
        <v>6.849252013808975</v>
      </c>
      <c r="T15" s="8" t="str">
        <f>IF(OR(AND(M15,O15),AND(M15,Rules!$B$4),AND(R15&gt;0,S15&lt;K15),AND(R15&gt;0,S15&gt;L15)),"YES","No")</f>
        <v>No</v>
      </c>
      <c r="U15" s="2" t="str">
        <f>IF(T15="YES",IF(AND(M15,O15),"High demand but overstocked: rules disagree.",IF(AND(M15,Rules!$B$4),"High demand in a festival month: 1.5x reorder and +25% boost may double-count the spike.",IF(AND(R15&gt;0,S15&lt;K15),"Standard qty leaves cover below minimum.","Cover after order exceeds maximum."))),IF(O15,"Cover above maximum: pause next order.",IF(R15&gt;0,"Within limits after reorder: rule-based.","Stock within limits.")))</f>
        <v>Stock within limits.</v>
      </c>
      <c r="V15" s="12"/>
      <c r="W15" s="12"/>
      <c r="X15" s="8">
        <f>IF(W15&lt;&gt;"",W15,IF(V15="Reject",0,IF(AND(T15="YES",V15=""),0,R15)))</f>
        <v>0</v>
      </c>
      <c r="Y15" s="8" t="str">
        <f>SKU_Master!G15</f>
        <v>DIST002</v>
      </c>
    </row>
    <row r="16" spans="1:25" x14ac:dyDescent="0.25">
      <c r="A16" s="8" t="str">
        <f>SKU_Master!A16</f>
        <v>SKU015</v>
      </c>
      <c r="B16" s="8" t="str">
        <f>SKU_Master!B16</f>
        <v>Freshroots Honey 500g</v>
      </c>
      <c r="C16" s="8" t="str">
        <f>SKU_Master!D16</f>
        <v>Low</v>
      </c>
      <c r="D16" s="8">
        <f>INDEX(Inventory!$C:$C,MATCH(A16,Inventory!$A:$A,0))</f>
        <v>360</v>
      </c>
      <c r="E16" s="8">
        <f>SKU_Master!E16</f>
        <v>80</v>
      </c>
      <c r="F16" s="9">
        <f>SUMIFS(Sales_Wide!$B16:$Q16,Sales_Wide!$B$18:$Q$18,"&gt;"&amp;(16-Rules!$B$13))/Rules!$B$13</f>
        <v>28.75</v>
      </c>
      <c r="G16" s="9">
        <f>SUMIFS(Sales_Wide!$B16:$Q16,Sales_Wide!$B$18:$Q$18,"&gt;"&amp;(16-Rules!$B$14))/Rules!$B$14</f>
        <v>29.833333333333332</v>
      </c>
      <c r="H16" s="10">
        <f>F16/G16-1</f>
        <v>-0.03631284916201116</v>
      </c>
      <c r="I16" s="9">
        <f>G16*Rules!$B$6</f>
        <v>37.291666666666664</v>
      </c>
      <c r="J16" s="11">
        <f>D16/I16</f>
        <v>9.653631284916202</v>
      </c>
      <c r="K16" s="8">
        <f>IF(C16="High",Rules!$B$11,Rules!$B$9)</f>
        <v>6</v>
      </c>
      <c r="L16" s="8">
        <f>IF(C16="High",Rules!$B$12,Rules!$B$10)</f>
        <v>14</v>
      </c>
      <c r="M16" s="8" t="b">
        <f>H16&gt;Rules!$B$7</f>
        <v>0</v>
      </c>
      <c r="N16" s="8" t="b">
        <f>J16&lt;K16</f>
        <v>0</v>
      </c>
      <c r="O16" s="8" t="b">
        <f>J16&gt;L16</f>
        <v>0</v>
      </c>
      <c r="P16" s="8" t="str">
        <f>IF(O16,"Overstock risk",IF(AND(M16,N16),"High demand + Stockout risk",IF(N16,"Stockout risk",IF(M16,"High demand","Healthy"))))</f>
        <v>Healthy</v>
      </c>
      <c r="Q16" s="8" t="str">
        <f>IF(O16,"Pause next order",IF(OR(M16,N16),"Reorder immediately","No action"))</f>
        <v>No action</v>
      </c>
      <c r="R16" s="8">
        <f>IF(O16,0,IF(M16,E16*Rules!$B$8,IF(N16,E16,0)))</f>
        <v>0</v>
      </c>
      <c r="S16" s="11">
        <f>(D16+R16)/I16</f>
        <v>9.653631284916202</v>
      </c>
      <c r="T16" s="8" t="str">
        <f>IF(OR(AND(M16,O16),AND(M16,Rules!$B$4),AND(R16&gt;0,S16&lt;K16),AND(R16&gt;0,S16&gt;L16)),"YES","No")</f>
        <v>No</v>
      </c>
      <c r="U16" s="2" t="str">
        <f>IF(T16="YES",IF(AND(M16,O16),"High demand but overstocked: rules disagree.",IF(AND(M16,Rules!$B$4),"High demand in a festival month: 1.5x reorder and +25% boost may double-count the spike.",IF(AND(R16&gt;0,S16&lt;K16),"Standard qty leaves cover below minimum.","Cover after order exceeds maximum."))),IF(O16,"Cover above maximum: pause next order.",IF(R16&gt;0,"Within limits after reorder: rule-based.","Stock within limits.")))</f>
        <v>Stock within limits.</v>
      </c>
      <c r="V16" s="12"/>
      <c r="W16" s="12"/>
      <c r="X16" s="8">
        <f>IF(W16&lt;&gt;"",W16,IF(V16="Reject",0,IF(AND(T16="YES",V16=""),0,R16)))</f>
        <v>0</v>
      </c>
      <c r="Y16" s="8" t="str">
        <f>SKU_Master!G16</f>
        <v>DIST003</v>
      </c>
    </row>
  </sheetData>
  <autoFilter ref="A1:Y16"/>
  <conditionalFormatting sqref="P2:Q16">
    <cfRule type="expression" dxfId="3" priority="1">
      <formula>$T2="YES"</formula>
    </cfRule>
  </conditionalFormatting>
  <conditionalFormatting sqref="P2:Q16">
    <cfRule type="expression" dxfId="4" priority="2">
      <formula>$O2=TRUE</formula>
    </cfRule>
  </conditionalFormatting>
  <conditionalFormatting sqref="P2:Q16">
    <cfRule type="expression" dxfId="5" priority="3">
      <formula>$N2=TRUE</formula>
    </cfRule>
  </conditionalFormatting>
  <conditionalFormatting sqref="P2:Q16">
    <cfRule type="expression" dxfId="6" priority="4">
      <formula>$M2=TRUE</formula>
    </cfRule>
  </conditionalFormatting>
  <conditionalFormatting sqref="P2:Q16">
    <cfRule type="expression" dxfId="7" priority="5">
      <formula>AND($M2=FALSE,$N2=FALSE,$O2=FALSE)</formula>
    </cfRule>
  </conditionalFormatting>
  <conditionalFormatting sqref="T2:T16">
    <cfRule type="expression" dxfId="8" priority="6">
      <formula>$T2="YES"</formula>
    </cfRule>
  </conditionalFormatting>
  <dataValidations count="2">
    <dataValidation type="list" allowBlank="1" sqref="V2:V16">
      <formula1>"Approve,Modify,Reject"</formula1>
    </dataValidation>
    <dataValidation type="whole" operator="greaterThanOrEqual" allowBlank="1" showErrorMessage="1" error="Whole number &gt;= 0" sqref="W2:W1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40" customWidth="1"/>
    <col min="2" max="2" width="24" customWidth="1"/>
    <col min="3" max="11" width="16" customWidth="1"/>
  </cols>
  <sheetData>
    <row r="1" spans="1:1" x14ac:dyDescent="0.25">
      <c r="A1" s="13" t="s">
        <v>87</v>
      </c>
    </row>
    <row r="2" ht="32" customHeight="1" spans="1:2" x14ac:dyDescent="0.25">
      <c r="A2" s="1" t="s">
        <v>88</v>
      </c>
      <c r="B2" s="1" t="s">
        <v>89</v>
      </c>
    </row>
    <row r="3" spans="1:2" x14ac:dyDescent="0.25">
      <c r="A3" s="14" t="s">
        <v>90</v>
      </c>
      <c r="B3" s="14">
        <f>COUNTA(Recommendations!$A$2:$A$16)</f>
        <v>15</v>
      </c>
    </row>
    <row r="4" spans="1:2" x14ac:dyDescent="0.25">
      <c r="A4" s="14" t="s">
        <v>91</v>
      </c>
      <c r="B4" s="14">
        <f>COUNTIF(Recommendations!$N$2:$N$16,TRUE)</f>
        <v>5</v>
      </c>
    </row>
    <row r="5" spans="1:2" x14ac:dyDescent="0.25">
      <c r="A5" s="14" t="s">
        <v>92</v>
      </c>
      <c r="B5" s="14">
        <f>COUNTIF(Recommendations!$O$2:$O$16,TRUE)</f>
        <v>2</v>
      </c>
    </row>
    <row r="6" spans="1:2" x14ac:dyDescent="0.25">
      <c r="A6" s="14" t="s">
        <v>93</v>
      </c>
      <c r="B6" s="14">
        <f>COUNTIF(Recommendations!$M$2:$M$16,TRUE)</f>
        <v>1</v>
      </c>
    </row>
    <row r="7" spans="1:2" x14ac:dyDescent="0.25">
      <c r="A7" s="14" t="s">
        <v>94</v>
      </c>
      <c r="B7" s="14">
        <f>COUNTIFS(Recommendations!$M$2:$M$16,FALSE,Recommendations!$N$2:$N$16,FALSE,Recommendations!$O$2:$O$16,FALSE)</f>
        <v>8</v>
      </c>
    </row>
    <row r="8" spans="1:2" x14ac:dyDescent="0.25">
      <c r="A8" s="14" t="s">
        <v>95</v>
      </c>
      <c r="B8" s="14">
        <f>COUNTIF(Recommendations!$T$2:$T$16,"YES")</f>
        <v>3</v>
      </c>
    </row>
    <row r="9" spans="1:2" x14ac:dyDescent="0.25">
      <c r="A9" s="14" t="s">
        <v>96</v>
      </c>
      <c r="B9" s="15">
        <f>1-B8/B3</f>
        <v>0.8</v>
      </c>
    </row>
    <row r="10" spans="1:2" x14ac:dyDescent="0.25">
      <c r="A10" s="14" t="s">
        <v>97</v>
      </c>
      <c r="B10" s="14">
        <f>SUM(Recommendations!$R$2:$R$16)</f>
        <v>1820</v>
      </c>
    </row>
    <row r="11" spans="1:2" x14ac:dyDescent="0.25">
      <c r="A11" s="14" t="s">
        <v>98</v>
      </c>
      <c r="B11" s="14">
        <f>SUMIFS(Recommendations!$R$2:$R$16,Recommendations!$T$2:$T$16,"No")</f>
        <v>650</v>
      </c>
    </row>
    <row r="12" spans="1:2" x14ac:dyDescent="0.25">
      <c r="A12" s="14" t="s">
        <v>99</v>
      </c>
      <c r="B12" s="14">
        <f>SUM(Recommendations!$X$2:$X$16)</f>
        <v>650</v>
      </c>
    </row>
    <row r="14" spans="1:1" x14ac:dyDescent="0.25">
      <c r="A14" s="13" t="s">
        <v>100</v>
      </c>
    </row>
    <row r="15" ht="32" customHeight="1" spans="1:11" x14ac:dyDescent="0.25">
      <c r="A15" s="1" t="s">
        <v>86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108</v>
      </c>
      <c r="J15" s="1" t="s">
        <v>109</v>
      </c>
      <c r="K15" s="1" t="s">
        <v>110</v>
      </c>
    </row>
    <row r="16" spans="1:11" x14ac:dyDescent="0.25">
      <c r="A16" s="14" t="str">
        <f>Distributors!A2</f>
        <v>DIST001</v>
      </c>
      <c r="B16" s="14" t="str">
        <f>Distributors!B2</f>
        <v>NutriFlow Distributors</v>
      </c>
      <c r="C16" s="14" t="str">
        <f>Distributors!C2</f>
        <v>Maharashtra</v>
      </c>
      <c r="D16" s="14">
        <f>COUNTIFS(Recommendations!$Y$2:$Y$16,A16,Recommendations!$R$2:$R$16,"&gt;0")</f>
        <v>2</v>
      </c>
      <c r="E16" s="14">
        <f>SUMIFS(Recommendations!$R$2:$R$16,Recommendations!$Y$2:$Y$16,A16)</f>
        <v>870</v>
      </c>
      <c r="F16" s="14">
        <f>SUMIFS(Recommendations!$R$2:$R$16,Recommendations!$Y$2:$Y$16,A16,Recommendations!$T$2:$T$16,"No")</f>
        <v>0</v>
      </c>
      <c r="G16" s="14">
        <f>COUNTIFS(Recommendations!$Y$2:$Y$16,A16,Recommendations!$Q$2:$Q$16,"Pause next order")</f>
        <v>1</v>
      </c>
      <c r="H16" s="14">
        <f>COUNTIFS(Recommendations!$Y$2:$Y$16,A16,Recommendations!$T$2:$T$16,"YES",Recommendations!$V$2:$V$16,"")</f>
        <v>2</v>
      </c>
      <c r="I16" s="14">
        <f>SUMIFS(Recommendations!$X$2:$X$16,Recommendations!$Y$2:$Y$16,A16)</f>
        <v>0</v>
      </c>
      <c r="J16" s="12"/>
      <c r="K16" s="16"/>
    </row>
    <row r="17" spans="1:11" x14ac:dyDescent="0.25">
      <c r="A17" s="14" t="str">
        <f>Distributors!A3</f>
        <v>DIST002</v>
      </c>
      <c r="B17" s="14" t="str">
        <f>Distributors!B3</f>
        <v>GrainPath Logistics</v>
      </c>
      <c r="C17" s="14" t="str">
        <f>Distributors!C3</f>
        <v>Maharashtra</v>
      </c>
      <c r="D17" s="14">
        <f>COUNTIFS(Recommendations!$Y$2:$Y$16,A17,Recommendations!$R$2:$R$16,"&gt;0")</f>
        <v>2</v>
      </c>
      <c r="E17" s="14">
        <f>SUMIFS(Recommendations!$R$2:$R$16,Recommendations!$Y$2:$Y$16,A17)</f>
        <v>450</v>
      </c>
      <c r="F17" s="14">
        <f>SUMIFS(Recommendations!$R$2:$R$16,Recommendations!$Y$2:$Y$16,A17,Recommendations!$T$2:$T$16,"No")</f>
        <v>150</v>
      </c>
      <c r="G17" s="14">
        <f>COUNTIFS(Recommendations!$Y$2:$Y$16,A17,Recommendations!$Q$2:$Q$16,"Pause next order")</f>
        <v>0</v>
      </c>
      <c r="H17" s="14">
        <f>COUNTIFS(Recommendations!$Y$2:$Y$16,A17,Recommendations!$T$2:$T$16,"YES",Recommendations!$V$2:$V$16,"")</f>
        <v>1</v>
      </c>
      <c r="I17" s="14">
        <f>SUMIFS(Recommendations!$X$2:$X$16,Recommendations!$Y$2:$Y$16,A17)</f>
        <v>150</v>
      </c>
      <c r="J17" s="12"/>
      <c r="K17" s="16"/>
    </row>
    <row r="18" spans="1:11" x14ac:dyDescent="0.25">
      <c r="A18" s="14" t="str">
        <f>Distributors!A4</f>
        <v>DIST003</v>
      </c>
      <c r="B18" s="14" t="str">
        <f>Distributors!B4</f>
        <v>PeakSource Supply</v>
      </c>
      <c r="C18" s="14" t="str">
        <f>Distributors!C4</f>
        <v>Karnataka</v>
      </c>
      <c r="D18" s="14">
        <f>COUNTIFS(Recommendations!$Y$2:$Y$16,A18,Recommendations!$R$2:$R$16,"&gt;0")</f>
        <v>0</v>
      </c>
      <c r="E18" s="14">
        <f>SUMIFS(Recommendations!$R$2:$R$16,Recommendations!$Y$2:$Y$16,A18)</f>
        <v>0</v>
      </c>
      <c r="F18" s="14">
        <f>SUMIFS(Recommendations!$R$2:$R$16,Recommendations!$Y$2:$Y$16,A18,Recommendations!$T$2:$T$16,"No")</f>
        <v>0</v>
      </c>
      <c r="G18" s="14">
        <f>COUNTIFS(Recommendations!$Y$2:$Y$16,A18,Recommendations!$Q$2:$Q$16,"Pause next order")</f>
        <v>1</v>
      </c>
      <c r="H18" s="14">
        <f>COUNTIFS(Recommendations!$Y$2:$Y$16,A18,Recommendations!$T$2:$T$16,"YES",Recommendations!$V$2:$V$16,"")</f>
        <v>0</v>
      </c>
      <c r="I18" s="14">
        <f>SUMIFS(Recommendations!$X$2:$X$16,Recommendations!$Y$2:$Y$16,A18)</f>
        <v>0</v>
      </c>
      <c r="J18" s="12"/>
      <c r="K18" s="16"/>
    </row>
    <row r="19" spans="1:11" x14ac:dyDescent="0.25">
      <c r="A19" s="14" t="str">
        <f>Distributors!A5</f>
        <v>DIST004</v>
      </c>
      <c r="B19" s="14" t="str">
        <f>Distributors!B5</f>
        <v>Meridian Trade Co.</v>
      </c>
      <c r="C19" s="14" t="str">
        <f>Distributors!C5</f>
        <v>Gujarat</v>
      </c>
      <c r="D19" s="14">
        <f>COUNTIFS(Recommendations!$Y$2:$Y$16,A19,Recommendations!$R$2:$R$16,"&gt;0")</f>
        <v>1</v>
      </c>
      <c r="E19" s="14">
        <f>SUMIFS(Recommendations!$R$2:$R$16,Recommendations!$Y$2:$Y$16,A19)</f>
        <v>500</v>
      </c>
      <c r="F19" s="14">
        <f>SUMIFS(Recommendations!$R$2:$R$16,Recommendations!$Y$2:$Y$16,A19,Recommendations!$T$2:$T$16,"No")</f>
        <v>500</v>
      </c>
      <c r="G19" s="14">
        <f>COUNTIFS(Recommendations!$Y$2:$Y$16,A19,Recommendations!$Q$2:$Q$16,"Pause next order")</f>
        <v>0</v>
      </c>
      <c r="H19" s="14">
        <f>COUNTIFS(Recommendations!$Y$2:$Y$16,A19,Recommendations!$T$2:$T$16,"YES",Recommendations!$V$2:$V$16,"")</f>
        <v>0</v>
      </c>
      <c r="I19" s="14">
        <f>SUMIFS(Recommendations!$X$2:$X$16,Recommendations!$Y$2:$Y$16,A19)</f>
        <v>500</v>
      </c>
      <c r="J19" s="12"/>
      <c r="K19" s="16"/>
    </row>
    <row r="20" spans="1:9" x14ac:dyDescent="0.25">
      <c r="A20" s="17" t="s">
        <v>111</v>
      </c>
      <c r="B20" s="17" t="s">
        <v>54</v>
      </c>
      <c r="C20" s="17" t="s">
        <v>54</v>
      </c>
      <c r="D20" s="17">
        <f>SUM(D16:D19)</f>
        <v>5</v>
      </c>
      <c r="E20" s="17">
        <f>SUM(E16:E19)</f>
        <v>1820</v>
      </c>
      <c r="F20" s="17">
        <f>SUM(F16:F19)</f>
        <v>650</v>
      </c>
      <c r="G20" s="17">
        <f>SUM(G16:G19)</f>
        <v>2</v>
      </c>
      <c r="H20" s="17">
        <f>SUM(H16:H19)</f>
        <v>3</v>
      </c>
      <c r="I20" s="17">
        <f>SUM(I16:I19)</f>
        <v>650</v>
      </c>
    </row>
    <row r="22" spans="1:1" x14ac:dyDescent="0.25">
      <c r="A22" s="1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44" customWidth="1"/>
    <col min="2" max="2" width="16" customWidth="1"/>
    <col min="3" max="3" width="44" customWidth="1"/>
  </cols>
  <sheetData>
    <row r="1" ht="32" customHeight="1" spans="1:3" x14ac:dyDescent="0.25">
      <c r="A1" s="1" t="s">
        <v>113</v>
      </c>
      <c r="B1" s="1" t="s">
        <v>89</v>
      </c>
      <c r="C1" s="1" t="s">
        <v>114</v>
      </c>
    </row>
    <row r="2" spans="1:3" x14ac:dyDescent="0.25">
      <c r="A2" s="14" t="s">
        <v>115</v>
      </c>
      <c r="B2" s="18">
        <f>Inventory!D2</f>
        <v>46314</v>
      </c>
      <c r="C2" s="14" t="s">
        <v>116</v>
      </c>
    </row>
    <row r="3" spans="1:3" x14ac:dyDescent="0.25">
      <c r="A3" s="14" t="s">
        <v>117</v>
      </c>
      <c r="B3" s="14" t="str">
        <f>TEXT(B2,"yyyy-mm")</f>
        <v>2026-10</v>
      </c>
      <c r="C3" s="14" t="s">
        <v>118</v>
      </c>
    </row>
    <row r="4" spans="1:3" x14ac:dyDescent="0.25">
      <c r="A4" s="14" t="s">
        <v>119</v>
      </c>
      <c r="B4" s="14" t="b">
        <f>INDEX(Calendar!D:D,MATCH(B3,Calendar!C:C,0))</f>
        <v>1</v>
      </c>
      <c r="C4" s="14" t="s">
        <v>120</v>
      </c>
    </row>
    <row r="5" spans="1:3" x14ac:dyDescent="0.25">
      <c r="A5" s="14" t="s">
        <v>121</v>
      </c>
      <c r="B5" s="19">
        <v>0.25</v>
      </c>
      <c r="C5" s="14" t="s">
        <v>122</v>
      </c>
    </row>
    <row r="6" spans="1:3" x14ac:dyDescent="0.25">
      <c r="A6" s="14" t="s">
        <v>123</v>
      </c>
      <c r="B6" s="20">
        <f>1+IF(B4,B5,0)</f>
        <v>1.25</v>
      </c>
      <c r="C6" s="14" t="s">
        <v>124</v>
      </c>
    </row>
    <row r="7" spans="1:3" x14ac:dyDescent="0.25">
      <c r="A7" s="14" t="s">
        <v>125</v>
      </c>
      <c r="B7" s="19">
        <v>0.2</v>
      </c>
      <c r="C7" s="14" t="s">
        <v>126</v>
      </c>
    </row>
    <row r="8" spans="1:3" x14ac:dyDescent="0.25">
      <c r="A8" s="14" t="s">
        <v>127</v>
      </c>
      <c r="B8" s="21">
        <v>1.5</v>
      </c>
      <c r="C8" s="14" t="s">
        <v>126</v>
      </c>
    </row>
    <row r="9" spans="1:3" x14ac:dyDescent="0.25">
      <c r="A9" s="14" t="s">
        <v>128</v>
      </c>
      <c r="B9" s="12">
        <v>6</v>
      </c>
      <c r="C9" s="14" t="s">
        <v>129</v>
      </c>
    </row>
    <row r="10" spans="1:3" x14ac:dyDescent="0.25">
      <c r="A10" s="14" t="s">
        <v>130</v>
      </c>
      <c r="B10" s="12">
        <v>14</v>
      </c>
      <c r="C10" s="14" t="s">
        <v>131</v>
      </c>
    </row>
    <row r="11" spans="1:3" x14ac:dyDescent="0.25">
      <c r="A11" s="14" t="s">
        <v>132</v>
      </c>
      <c r="B11" s="12">
        <v>3</v>
      </c>
      <c r="C11" s="14" t="s">
        <v>133</v>
      </c>
    </row>
    <row r="12" spans="1:3" x14ac:dyDescent="0.25">
      <c r="A12" s="14" t="s">
        <v>134</v>
      </c>
      <c r="B12" s="12">
        <v>4</v>
      </c>
      <c r="C12" s="14" t="s">
        <v>133</v>
      </c>
    </row>
    <row r="13" spans="1:3" x14ac:dyDescent="0.25">
      <c r="A13" s="14" t="s">
        <v>135</v>
      </c>
      <c r="B13" s="12">
        <v>4</v>
      </c>
      <c r="C13" s="14" t="s">
        <v>136</v>
      </c>
    </row>
    <row r="14" spans="1:3" x14ac:dyDescent="0.25">
      <c r="A14" s="14" t="s">
        <v>137</v>
      </c>
      <c r="B14" s="12">
        <v>12</v>
      </c>
      <c r="C14" s="14" t="s">
        <v>136</v>
      </c>
    </row>
    <row r="16" spans="1:1" x14ac:dyDescent="0.25">
      <c r="A16" s="22" t="s">
        <v>138</v>
      </c>
    </row>
    <row r="17" spans="1:1" x14ac:dyDescent="0.25">
      <c r="A17" s="14" t="s">
        <v>139</v>
      </c>
    </row>
    <row r="18" spans="1:1" x14ac:dyDescent="0.25">
      <c r="A18" s="14" t="s">
        <v>140</v>
      </c>
    </row>
    <row r="19" spans="1:1" x14ac:dyDescent="0.25">
      <c r="A19" s="14" t="s">
        <v>141</v>
      </c>
    </row>
    <row r="20" spans="1:1" x14ac:dyDescent="0.25">
      <c r="A20" s="14" t="s">
        <v>142</v>
      </c>
    </row>
    <row r="21" spans="1:1" x14ac:dyDescent="0.25">
      <c r="A21" s="14" t="s">
        <v>143</v>
      </c>
    </row>
    <row r="22" spans="1:1" x14ac:dyDescent="0.25">
      <c r="A22" s="14" t="s">
        <v>144</v>
      </c>
    </row>
    <row r="23" spans="1:1" x14ac:dyDescent="0.25">
      <c r="A23" s="1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17" width="10" customWidth="1"/>
  </cols>
  <sheetData>
    <row r="1" ht="32" customHeight="1" spans="1:17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</row>
    <row r="2" spans="1:17" x14ac:dyDescent="0.25">
      <c r="A2" t="s">
        <v>163</v>
      </c>
      <c r="B2">
        <v>194</v>
      </c>
      <c r="C2">
        <v>188</v>
      </c>
      <c r="D2">
        <v>204</v>
      </c>
      <c r="E2">
        <v>186</v>
      </c>
      <c r="F2">
        <v>201</v>
      </c>
      <c r="G2">
        <v>195</v>
      </c>
      <c r="H2">
        <v>185</v>
      </c>
      <c r="I2">
        <v>200</v>
      </c>
      <c r="J2">
        <v>185</v>
      </c>
      <c r="K2">
        <v>197</v>
      </c>
      <c r="L2">
        <v>186</v>
      </c>
      <c r="M2">
        <v>186</v>
      </c>
      <c r="N2">
        <v>261</v>
      </c>
      <c r="O2">
        <v>267</v>
      </c>
      <c r="P2">
        <v>257</v>
      </c>
      <c r="Q2">
        <v>259</v>
      </c>
    </row>
    <row r="3" spans="1:17" x14ac:dyDescent="0.25">
      <c r="A3" t="s">
        <v>164</v>
      </c>
      <c r="B3">
        <v>86</v>
      </c>
      <c r="C3">
        <v>91</v>
      </c>
      <c r="D3">
        <v>86</v>
      </c>
      <c r="E3">
        <v>83</v>
      </c>
      <c r="F3">
        <v>91</v>
      </c>
      <c r="G3">
        <v>78</v>
      </c>
      <c r="H3">
        <v>89</v>
      </c>
      <c r="I3">
        <v>82</v>
      </c>
      <c r="J3">
        <v>80</v>
      </c>
      <c r="K3">
        <v>79</v>
      </c>
      <c r="L3">
        <v>82</v>
      </c>
      <c r="M3">
        <v>89</v>
      </c>
      <c r="N3">
        <v>80</v>
      </c>
      <c r="O3">
        <v>86</v>
      </c>
      <c r="P3">
        <v>86</v>
      </c>
      <c r="Q3">
        <v>83</v>
      </c>
    </row>
    <row r="4" spans="1:17" x14ac:dyDescent="0.25">
      <c r="A4" t="s">
        <v>165</v>
      </c>
      <c r="B4">
        <v>151</v>
      </c>
      <c r="C4">
        <v>139</v>
      </c>
      <c r="D4">
        <v>139</v>
      </c>
      <c r="E4">
        <v>142</v>
      </c>
      <c r="F4">
        <v>154</v>
      </c>
      <c r="G4">
        <v>148</v>
      </c>
      <c r="H4">
        <v>145</v>
      </c>
      <c r="I4">
        <v>152</v>
      </c>
      <c r="J4">
        <v>148</v>
      </c>
      <c r="K4">
        <v>145</v>
      </c>
      <c r="L4">
        <v>157</v>
      </c>
      <c r="M4">
        <v>154</v>
      </c>
      <c r="N4">
        <v>143</v>
      </c>
      <c r="O4">
        <v>151</v>
      </c>
      <c r="P4">
        <v>150</v>
      </c>
      <c r="Q4">
        <v>159</v>
      </c>
    </row>
    <row r="5" spans="1:17" x14ac:dyDescent="0.25">
      <c r="A5" t="s">
        <v>166</v>
      </c>
      <c r="B5">
        <v>82</v>
      </c>
      <c r="C5">
        <v>77</v>
      </c>
      <c r="D5">
        <v>86</v>
      </c>
      <c r="E5">
        <v>75</v>
      </c>
      <c r="F5">
        <v>78</v>
      </c>
      <c r="G5">
        <v>83</v>
      </c>
      <c r="H5">
        <v>75</v>
      </c>
      <c r="I5">
        <v>79</v>
      </c>
      <c r="J5">
        <v>74</v>
      </c>
      <c r="K5">
        <v>82</v>
      </c>
      <c r="L5">
        <v>83</v>
      </c>
      <c r="M5">
        <v>80</v>
      </c>
      <c r="N5">
        <v>84</v>
      </c>
      <c r="O5">
        <v>77</v>
      </c>
      <c r="P5">
        <v>82</v>
      </c>
      <c r="Q5">
        <v>81</v>
      </c>
    </row>
    <row r="6" spans="1:17" x14ac:dyDescent="0.25">
      <c r="A6" t="s">
        <v>167</v>
      </c>
      <c r="B6">
        <v>60</v>
      </c>
      <c r="C6">
        <v>59</v>
      </c>
      <c r="D6">
        <v>63</v>
      </c>
      <c r="E6">
        <v>64</v>
      </c>
      <c r="F6">
        <v>59</v>
      </c>
      <c r="G6">
        <v>61</v>
      </c>
      <c r="H6">
        <v>55</v>
      </c>
      <c r="I6">
        <v>61</v>
      </c>
      <c r="J6">
        <v>61</v>
      </c>
      <c r="K6">
        <v>64</v>
      </c>
      <c r="L6">
        <v>63</v>
      </c>
      <c r="M6">
        <v>57</v>
      </c>
      <c r="N6">
        <v>58</v>
      </c>
      <c r="O6">
        <v>61</v>
      </c>
      <c r="P6">
        <v>55</v>
      </c>
      <c r="Q6">
        <v>59</v>
      </c>
    </row>
    <row r="7" spans="1:17" x14ac:dyDescent="0.25">
      <c r="A7" t="s">
        <v>168</v>
      </c>
      <c r="B7">
        <v>37</v>
      </c>
      <c r="C7">
        <v>37</v>
      </c>
      <c r="D7">
        <v>37</v>
      </c>
      <c r="E7">
        <v>41</v>
      </c>
      <c r="F7">
        <v>37</v>
      </c>
      <c r="G7">
        <v>38</v>
      </c>
      <c r="H7">
        <v>39</v>
      </c>
      <c r="I7">
        <v>42</v>
      </c>
      <c r="J7">
        <v>37</v>
      </c>
      <c r="K7">
        <v>39</v>
      </c>
      <c r="L7">
        <v>40</v>
      </c>
      <c r="M7">
        <v>42</v>
      </c>
      <c r="N7">
        <v>42</v>
      </c>
      <c r="O7">
        <v>42</v>
      </c>
      <c r="P7">
        <v>38</v>
      </c>
      <c r="Q7">
        <v>39</v>
      </c>
    </row>
    <row r="8" spans="1:17" x14ac:dyDescent="0.25">
      <c r="A8" t="s">
        <v>169</v>
      </c>
      <c r="B8">
        <v>117</v>
      </c>
      <c r="C8">
        <v>127</v>
      </c>
      <c r="D8">
        <v>128</v>
      </c>
      <c r="E8">
        <v>113</v>
      </c>
      <c r="F8">
        <v>113</v>
      </c>
      <c r="G8">
        <v>114</v>
      </c>
      <c r="H8">
        <v>114</v>
      </c>
      <c r="I8">
        <v>119</v>
      </c>
      <c r="J8">
        <v>121</v>
      </c>
      <c r="K8">
        <v>115</v>
      </c>
      <c r="L8">
        <v>110</v>
      </c>
      <c r="M8">
        <v>118</v>
      </c>
      <c r="N8">
        <v>131</v>
      </c>
      <c r="O8">
        <v>133</v>
      </c>
      <c r="P8">
        <v>136</v>
      </c>
      <c r="Q8">
        <v>134</v>
      </c>
    </row>
    <row r="9" spans="1:17" x14ac:dyDescent="0.25">
      <c r="A9" t="s">
        <v>170</v>
      </c>
      <c r="B9">
        <v>110</v>
      </c>
      <c r="C9">
        <v>112</v>
      </c>
      <c r="D9">
        <v>113</v>
      </c>
      <c r="E9">
        <v>102</v>
      </c>
      <c r="F9">
        <v>117</v>
      </c>
      <c r="G9">
        <v>114</v>
      </c>
      <c r="H9">
        <v>116</v>
      </c>
      <c r="I9">
        <v>115</v>
      </c>
      <c r="J9">
        <v>108</v>
      </c>
      <c r="K9">
        <v>108</v>
      </c>
      <c r="L9">
        <v>103</v>
      </c>
      <c r="M9">
        <v>112</v>
      </c>
      <c r="N9">
        <v>102</v>
      </c>
      <c r="O9">
        <v>102</v>
      </c>
      <c r="P9">
        <v>104</v>
      </c>
      <c r="Q9">
        <v>104</v>
      </c>
    </row>
    <row r="10" spans="1:17" x14ac:dyDescent="0.25">
      <c r="A10" t="s">
        <v>171</v>
      </c>
      <c r="B10">
        <v>34</v>
      </c>
      <c r="C10">
        <v>32</v>
      </c>
      <c r="D10">
        <v>32</v>
      </c>
      <c r="E10">
        <v>33</v>
      </c>
      <c r="F10">
        <v>32</v>
      </c>
      <c r="G10">
        <v>34</v>
      </c>
      <c r="H10">
        <v>32</v>
      </c>
      <c r="I10">
        <v>37</v>
      </c>
      <c r="J10">
        <v>35</v>
      </c>
      <c r="K10">
        <v>33</v>
      </c>
      <c r="L10">
        <v>33</v>
      </c>
      <c r="M10">
        <v>34</v>
      </c>
      <c r="N10">
        <v>34</v>
      </c>
      <c r="O10">
        <v>32</v>
      </c>
      <c r="P10">
        <v>36</v>
      </c>
      <c r="Q10">
        <v>37</v>
      </c>
    </row>
    <row r="11" spans="1:17" x14ac:dyDescent="0.25">
      <c r="A11" t="s">
        <v>172</v>
      </c>
      <c r="B11">
        <v>24</v>
      </c>
      <c r="C11">
        <v>24</v>
      </c>
      <c r="D11">
        <v>23</v>
      </c>
      <c r="E11">
        <v>23</v>
      </c>
      <c r="F11">
        <v>24</v>
      </c>
      <c r="G11">
        <v>24</v>
      </c>
      <c r="H11">
        <v>26</v>
      </c>
      <c r="I11">
        <v>23</v>
      </c>
      <c r="J11">
        <v>23</v>
      </c>
      <c r="K11">
        <v>26</v>
      </c>
      <c r="L11">
        <v>25</v>
      </c>
      <c r="M11">
        <v>23</v>
      </c>
      <c r="N11">
        <v>25</v>
      </c>
      <c r="O11">
        <v>23</v>
      </c>
      <c r="P11">
        <v>25</v>
      </c>
      <c r="Q11">
        <v>26</v>
      </c>
    </row>
    <row r="12" spans="1:17" x14ac:dyDescent="0.25">
      <c r="A12" t="s">
        <v>173</v>
      </c>
      <c r="B12">
        <v>211</v>
      </c>
      <c r="C12">
        <v>206</v>
      </c>
      <c r="D12">
        <v>192</v>
      </c>
      <c r="E12">
        <v>195</v>
      </c>
      <c r="F12">
        <v>189</v>
      </c>
      <c r="G12">
        <v>208</v>
      </c>
      <c r="H12">
        <v>201</v>
      </c>
      <c r="I12">
        <v>208</v>
      </c>
      <c r="J12">
        <v>194</v>
      </c>
      <c r="K12">
        <v>191</v>
      </c>
      <c r="L12">
        <v>209</v>
      </c>
      <c r="M12">
        <v>215</v>
      </c>
      <c r="N12">
        <v>211</v>
      </c>
      <c r="O12">
        <v>209</v>
      </c>
      <c r="P12">
        <v>210</v>
      </c>
      <c r="Q12">
        <v>207</v>
      </c>
    </row>
    <row r="13" spans="1:17" x14ac:dyDescent="0.25">
      <c r="A13" t="s">
        <v>174</v>
      </c>
      <c r="B13">
        <v>52</v>
      </c>
      <c r="C13">
        <v>55</v>
      </c>
      <c r="D13">
        <v>53</v>
      </c>
      <c r="E13">
        <v>50</v>
      </c>
      <c r="F13">
        <v>50</v>
      </c>
      <c r="G13">
        <v>53</v>
      </c>
      <c r="H13">
        <v>52</v>
      </c>
      <c r="I13">
        <v>56</v>
      </c>
      <c r="J13">
        <v>59</v>
      </c>
      <c r="K13">
        <v>54</v>
      </c>
      <c r="L13">
        <v>58</v>
      </c>
      <c r="M13">
        <v>59</v>
      </c>
      <c r="N13">
        <v>62</v>
      </c>
      <c r="O13">
        <v>60</v>
      </c>
      <c r="P13">
        <v>59</v>
      </c>
      <c r="Q13">
        <v>59</v>
      </c>
    </row>
    <row r="14" spans="1:17" x14ac:dyDescent="0.25">
      <c r="A14" t="s">
        <v>175</v>
      </c>
      <c r="B14">
        <v>42</v>
      </c>
      <c r="C14">
        <v>42</v>
      </c>
      <c r="D14">
        <v>45</v>
      </c>
      <c r="E14">
        <v>47</v>
      </c>
      <c r="F14">
        <v>47</v>
      </c>
      <c r="G14">
        <v>44</v>
      </c>
      <c r="H14">
        <v>46</v>
      </c>
      <c r="I14">
        <v>47</v>
      </c>
      <c r="J14">
        <v>42</v>
      </c>
      <c r="K14">
        <v>46</v>
      </c>
      <c r="L14">
        <v>47</v>
      </c>
      <c r="M14">
        <v>47</v>
      </c>
      <c r="N14">
        <v>46</v>
      </c>
      <c r="O14">
        <v>44</v>
      </c>
      <c r="P14">
        <v>42</v>
      </c>
      <c r="Q14">
        <v>47</v>
      </c>
    </row>
    <row r="15" spans="1:17" x14ac:dyDescent="0.25">
      <c r="A15" t="s">
        <v>176</v>
      </c>
      <c r="B15">
        <v>68</v>
      </c>
      <c r="C15">
        <v>73</v>
      </c>
      <c r="D15">
        <v>75</v>
      </c>
      <c r="E15">
        <v>68</v>
      </c>
      <c r="F15">
        <v>68</v>
      </c>
      <c r="G15">
        <v>75</v>
      </c>
      <c r="H15">
        <v>72</v>
      </c>
      <c r="I15">
        <v>66</v>
      </c>
      <c r="J15">
        <v>65</v>
      </c>
      <c r="K15">
        <v>66</v>
      </c>
      <c r="L15">
        <v>74</v>
      </c>
      <c r="M15">
        <v>73</v>
      </c>
      <c r="N15">
        <v>75</v>
      </c>
      <c r="O15">
        <v>78</v>
      </c>
      <c r="P15">
        <v>79</v>
      </c>
      <c r="Q15">
        <v>78</v>
      </c>
    </row>
    <row r="16" spans="1:17" x14ac:dyDescent="0.25">
      <c r="A16" t="s">
        <v>177</v>
      </c>
      <c r="B16">
        <v>29</v>
      </c>
      <c r="C16">
        <v>30</v>
      </c>
      <c r="D16">
        <v>28</v>
      </c>
      <c r="E16">
        <v>27</v>
      </c>
      <c r="F16">
        <v>32</v>
      </c>
      <c r="G16">
        <v>30</v>
      </c>
      <c r="H16">
        <v>30</v>
      </c>
      <c r="I16">
        <v>32</v>
      </c>
      <c r="J16">
        <v>29</v>
      </c>
      <c r="K16">
        <v>31</v>
      </c>
      <c r="L16">
        <v>31</v>
      </c>
      <c r="M16">
        <v>28</v>
      </c>
      <c r="N16">
        <v>28</v>
      </c>
      <c r="O16">
        <v>29</v>
      </c>
      <c r="P16">
        <v>28</v>
      </c>
      <c r="Q16">
        <v>30</v>
      </c>
    </row>
    <row r="18" spans="1:17" x14ac:dyDescent="0.25">
      <c r="A18" t="s">
        <v>178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2" customHeight="1" spans="1:7" x14ac:dyDescent="0.25">
      <c r="A1" s="1" t="s">
        <v>146</v>
      </c>
      <c r="B1" s="1" t="s">
        <v>179</v>
      </c>
      <c r="C1" s="1" t="s">
        <v>180</v>
      </c>
      <c r="D1" s="1" t="s">
        <v>64</v>
      </c>
      <c r="E1" s="1" t="s">
        <v>181</v>
      </c>
      <c r="F1" s="1" t="s">
        <v>182</v>
      </c>
      <c r="G1" s="1" t="s">
        <v>183</v>
      </c>
    </row>
    <row r="2" spans="1:7" x14ac:dyDescent="0.25">
      <c r="A2" t="s">
        <v>163</v>
      </c>
      <c r="B2" t="s">
        <v>184</v>
      </c>
      <c r="C2" t="s">
        <v>185</v>
      </c>
      <c r="D2" t="s">
        <v>186</v>
      </c>
      <c r="E2">
        <v>500</v>
      </c>
      <c r="F2" t="s">
        <v>187</v>
      </c>
      <c r="G2" t="s">
        <v>188</v>
      </c>
    </row>
    <row r="3" spans="1:7" x14ac:dyDescent="0.25">
      <c r="A3" t="s">
        <v>164</v>
      </c>
      <c r="B3" t="s">
        <v>189</v>
      </c>
      <c r="C3" t="s">
        <v>190</v>
      </c>
      <c r="D3" t="s">
        <v>186</v>
      </c>
      <c r="E3">
        <v>200</v>
      </c>
      <c r="F3" t="s">
        <v>187</v>
      </c>
      <c r="G3" t="s">
        <v>188</v>
      </c>
    </row>
    <row r="4" spans="1:7" x14ac:dyDescent="0.25">
      <c r="A4" t="s">
        <v>165</v>
      </c>
      <c r="B4" t="s">
        <v>191</v>
      </c>
      <c r="C4" t="s">
        <v>192</v>
      </c>
      <c r="D4" t="s">
        <v>186</v>
      </c>
      <c r="E4">
        <v>300</v>
      </c>
      <c r="F4" t="s">
        <v>187</v>
      </c>
      <c r="G4" t="s">
        <v>193</v>
      </c>
    </row>
    <row r="5" spans="1:7" x14ac:dyDescent="0.25">
      <c r="A5" t="s">
        <v>166</v>
      </c>
      <c r="B5" t="s">
        <v>194</v>
      </c>
      <c r="C5" t="s">
        <v>195</v>
      </c>
      <c r="D5" t="s">
        <v>196</v>
      </c>
      <c r="E5">
        <v>150</v>
      </c>
      <c r="F5" t="s">
        <v>187</v>
      </c>
      <c r="G5" t="s">
        <v>193</v>
      </c>
    </row>
    <row r="6" spans="1:7" x14ac:dyDescent="0.25">
      <c r="A6" t="s">
        <v>167</v>
      </c>
      <c r="B6" t="s">
        <v>197</v>
      </c>
      <c r="C6" t="s">
        <v>190</v>
      </c>
      <c r="D6" t="s">
        <v>186</v>
      </c>
      <c r="E6">
        <v>150</v>
      </c>
      <c r="F6" t="s">
        <v>187</v>
      </c>
      <c r="G6" t="s">
        <v>198</v>
      </c>
    </row>
    <row r="7" spans="1:7" x14ac:dyDescent="0.25">
      <c r="A7" t="s">
        <v>168</v>
      </c>
      <c r="B7" t="s">
        <v>199</v>
      </c>
      <c r="C7" t="s">
        <v>192</v>
      </c>
      <c r="D7" t="s">
        <v>186</v>
      </c>
      <c r="E7">
        <v>100</v>
      </c>
      <c r="F7" t="s">
        <v>187</v>
      </c>
      <c r="G7" t="s">
        <v>198</v>
      </c>
    </row>
    <row r="8" spans="1:7" x14ac:dyDescent="0.25">
      <c r="A8" t="s">
        <v>169</v>
      </c>
      <c r="B8" t="s">
        <v>200</v>
      </c>
      <c r="C8" t="s">
        <v>185</v>
      </c>
      <c r="D8" t="s">
        <v>196</v>
      </c>
      <c r="E8">
        <v>400</v>
      </c>
      <c r="F8" t="s">
        <v>187</v>
      </c>
      <c r="G8" t="s">
        <v>188</v>
      </c>
    </row>
    <row r="9" spans="1:7" x14ac:dyDescent="0.25">
      <c r="A9" t="s">
        <v>170</v>
      </c>
      <c r="B9" t="s">
        <v>201</v>
      </c>
      <c r="C9" t="s">
        <v>190</v>
      </c>
      <c r="D9" t="s">
        <v>186</v>
      </c>
      <c r="E9">
        <v>300</v>
      </c>
      <c r="F9" t="s">
        <v>187</v>
      </c>
      <c r="G9" t="s">
        <v>193</v>
      </c>
    </row>
    <row r="10" spans="1:7" x14ac:dyDescent="0.25">
      <c r="A10" t="s">
        <v>171</v>
      </c>
      <c r="B10" t="s">
        <v>202</v>
      </c>
      <c r="C10" t="s">
        <v>192</v>
      </c>
      <c r="D10" t="s">
        <v>186</v>
      </c>
      <c r="E10">
        <v>80</v>
      </c>
      <c r="F10" t="s">
        <v>187</v>
      </c>
      <c r="G10" t="s">
        <v>198</v>
      </c>
    </row>
    <row r="11" spans="1:7" x14ac:dyDescent="0.25">
      <c r="A11" t="s">
        <v>172</v>
      </c>
      <c r="B11" t="s">
        <v>203</v>
      </c>
      <c r="C11" t="s">
        <v>204</v>
      </c>
      <c r="D11" t="s">
        <v>186</v>
      </c>
      <c r="E11">
        <v>60</v>
      </c>
      <c r="F11" t="s">
        <v>187</v>
      </c>
      <c r="G11" t="s">
        <v>205</v>
      </c>
    </row>
    <row r="12" spans="1:7" x14ac:dyDescent="0.25">
      <c r="A12" t="s">
        <v>173</v>
      </c>
      <c r="B12" t="s">
        <v>206</v>
      </c>
      <c r="C12" t="s">
        <v>192</v>
      </c>
      <c r="D12" t="s">
        <v>196</v>
      </c>
      <c r="E12">
        <v>500</v>
      </c>
      <c r="F12" t="s">
        <v>187</v>
      </c>
      <c r="G12" t="s">
        <v>205</v>
      </c>
    </row>
    <row r="13" spans="1:7" x14ac:dyDescent="0.25">
      <c r="A13" t="s">
        <v>174</v>
      </c>
      <c r="B13" t="s">
        <v>207</v>
      </c>
      <c r="C13" t="s">
        <v>185</v>
      </c>
      <c r="D13" t="s">
        <v>186</v>
      </c>
      <c r="E13">
        <v>150</v>
      </c>
      <c r="F13" t="s">
        <v>187</v>
      </c>
      <c r="G13" t="s">
        <v>205</v>
      </c>
    </row>
    <row r="14" spans="1:7" x14ac:dyDescent="0.25">
      <c r="A14" t="s">
        <v>175</v>
      </c>
      <c r="B14" t="s">
        <v>208</v>
      </c>
      <c r="C14" t="s">
        <v>204</v>
      </c>
      <c r="D14" t="s">
        <v>186</v>
      </c>
      <c r="E14">
        <v>120</v>
      </c>
      <c r="F14" t="s">
        <v>187</v>
      </c>
      <c r="G14" t="s">
        <v>188</v>
      </c>
    </row>
    <row r="15" spans="1:7" x14ac:dyDescent="0.25">
      <c r="A15" t="s">
        <v>176</v>
      </c>
      <c r="B15" t="s">
        <v>209</v>
      </c>
      <c r="C15" t="s">
        <v>190</v>
      </c>
      <c r="D15" t="s">
        <v>186</v>
      </c>
      <c r="E15">
        <v>200</v>
      </c>
      <c r="F15" t="s">
        <v>187</v>
      </c>
      <c r="G15" t="s">
        <v>193</v>
      </c>
    </row>
    <row r="16" spans="1:7" x14ac:dyDescent="0.25">
      <c r="A16" t="s">
        <v>177</v>
      </c>
      <c r="B16" t="s">
        <v>210</v>
      </c>
      <c r="C16" t="s">
        <v>204</v>
      </c>
      <c r="D16" t="s">
        <v>186</v>
      </c>
      <c r="E16">
        <v>80</v>
      </c>
      <c r="F16" t="s">
        <v>187</v>
      </c>
      <c r="G16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2" style="23" customWidth="1"/>
  </cols>
  <sheetData>
    <row r="1" ht="32" customHeight="1" spans="1:4" x14ac:dyDescent="0.25">
      <c r="A1" s="1" t="s">
        <v>146</v>
      </c>
      <c r="B1" s="1" t="s">
        <v>211</v>
      </c>
      <c r="C1" s="1" t="s">
        <v>212</v>
      </c>
      <c r="D1" s="24" t="s">
        <v>213</v>
      </c>
    </row>
    <row r="2" spans="1:4" x14ac:dyDescent="0.25">
      <c r="A2" t="s">
        <v>163</v>
      </c>
      <c r="B2" t="s">
        <v>214</v>
      </c>
      <c r="C2">
        <v>900</v>
      </c>
      <c r="D2" s="23">
        <v>46314</v>
      </c>
    </row>
    <row r="3" spans="1:4" x14ac:dyDescent="0.25">
      <c r="A3" t="s">
        <v>164</v>
      </c>
      <c r="B3" t="s">
        <v>214</v>
      </c>
      <c r="C3">
        <v>1200</v>
      </c>
      <c r="D3" s="23">
        <v>46314</v>
      </c>
    </row>
    <row r="4" spans="1:4" x14ac:dyDescent="0.25">
      <c r="A4" t="s">
        <v>165</v>
      </c>
      <c r="B4" t="s">
        <v>214</v>
      </c>
      <c r="C4">
        <v>820</v>
      </c>
      <c r="D4" s="23">
        <v>46314</v>
      </c>
    </row>
    <row r="5" spans="1:4" x14ac:dyDescent="0.25">
      <c r="A5" t="s">
        <v>166</v>
      </c>
      <c r="B5" t="s">
        <v>214</v>
      </c>
      <c r="C5">
        <v>180</v>
      </c>
      <c r="D5" s="23">
        <v>46314</v>
      </c>
    </row>
    <row r="6" spans="1:4" x14ac:dyDescent="0.25">
      <c r="A6" t="s">
        <v>167</v>
      </c>
      <c r="B6" t="s">
        <v>214</v>
      </c>
      <c r="C6">
        <v>600</v>
      </c>
      <c r="D6" s="23">
        <v>46314</v>
      </c>
    </row>
    <row r="7" spans="1:4" x14ac:dyDescent="0.25">
      <c r="A7" t="s">
        <v>168</v>
      </c>
      <c r="B7" t="s">
        <v>214</v>
      </c>
      <c r="C7">
        <v>1100</v>
      </c>
      <c r="D7" s="23">
        <v>46314</v>
      </c>
    </row>
    <row r="8" spans="1:4" x14ac:dyDescent="0.25">
      <c r="A8" t="s">
        <v>169</v>
      </c>
      <c r="B8" t="s">
        <v>214</v>
      </c>
      <c r="C8">
        <v>620</v>
      </c>
      <c r="D8" s="23">
        <v>46314</v>
      </c>
    </row>
    <row r="9" spans="1:4" x14ac:dyDescent="0.25">
      <c r="A9" t="s">
        <v>170</v>
      </c>
      <c r="B9" t="s">
        <v>214</v>
      </c>
      <c r="C9">
        <v>950</v>
      </c>
      <c r="D9" s="23">
        <v>46314</v>
      </c>
    </row>
    <row r="10" spans="1:4" x14ac:dyDescent="0.25">
      <c r="A10" t="s">
        <v>171</v>
      </c>
      <c r="B10" t="s">
        <v>214</v>
      </c>
      <c r="C10">
        <v>400</v>
      </c>
      <c r="D10" s="23">
        <v>46314</v>
      </c>
    </row>
    <row r="11" spans="1:4" x14ac:dyDescent="0.25">
      <c r="A11" t="s">
        <v>172</v>
      </c>
      <c r="B11" t="s">
        <v>214</v>
      </c>
      <c r="C11">
        <v>260</v>
      </c>
      <c r="D11" s="23">
        <v>46314</v>
      </c>
    </row>
    <row r="12" spans="1:4" x14ac:dyDescent="0.25">
      <c r="A12" t="s">
        <v>173</v>
      </c>
      <c r="B12" t="s">
        <v>214</v>
      </c>
      <c r="C12">
        <v>460</v>
      </c>
      <c r="D12" s="23">
        <v>46314</v>
      </c>
    </row>
    <row r="13" spans="1:4" x14ac:dyDescent="0.25">
      <c r="A13" t="s">
        <v>174</v>
      </c>
      <c r="B13" t="s">
        <v>214</v>
      </c>
      <c r="C13">
        <v>480</v>
      </c>
      <c r="D13" s="23">
        <v>46314</v>
      </c>
    </row>
    <row r="14" spans="1:4" x14ac:dyDescent="0.25">
      <c r="A14" t="s">
        <v>175</v>
      </c>
      <c r="B14" t="s">
        <v>214</v>
      </c>
      <c r="C14">
        <v>180</v>
      </c>
      <c r="D14" s="23">
        <v>46314</v>
      </c>
    </row>
    <row r="15" spans="1:4" x14ac:dyDescent="0.25">
      <c r="A15" t="s">
        <v>176</v>
      </c>
      <c r="B15" t="s">
        <v>214</v>
      </c>
      <c r="C15">
        <v>620</v>
      </c>
      <c r="D15" s="23">
        <v>46314</v>
      </c>
    </row>
    <row r="16" spans="1:4" x14ac:dyDescent="0.25">
      <c r="A16" t="s">
        <v>177</v>
      </c>
      <c r="B16" t="s">
        <v>214</v>
      </c>
      <c r="C16">
        <v>360</v>
      </c>
      <c r="D16" s="23">
        <v>46314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ht="32" customHeight="1" spans="1:4" x14ac:dyDescent="0.25">
      <c r="A1" s="1" t="s">
        <v>215</v>
      </c>
      <c r="B1" s="1" t="s">
        <v>216</v>
      </c>
      <c r="C1" s="1" t="s">
        <v>217</v>
      </c>
      <c r="D1" s="1" t="s">
        <v>218</v>
      </c>
    </row>
    <row r="2" spans="1:4" x14ac:dyDescent="0.25">
      <c r="A2">
        <v>2025</v>
      </c>
      <c r="B2">
        <v>1</v>
      </c>
      <c r="C2" t="s">
        <v>219</v>
      </c>
      <c r="D2" t="b">
        <v>0</v>
      </c>
    </row>
    <row r="3" spans="1:4" x14ac:dyDescent="0.25">
      <c r="A3">
        <v>2025</v>
      </c>
      <c r="B3">
        <v>2</v>
      </c>
      <c r="C3" t="s">
        <v>220</v>
      </c>
      <c r="D3" t="b">
        <v>0</v>
      </c>
    </row>
    <row r="4" spans="1:4" x14ac:dyDescent="0.25">
      <c r="A4">
        <v>2025</v>
      </c>
      <c r="B4">
        <v>3</v>
      </c>
      <c r="C4" t="s">
        <v>221</v>
      </c>
      <c r="D4" t="b">
        <v>1</v>
      </c>
    </row>
    <row r="5" spans="1:4" x14ac:dyDescent="0.25">
      <c r="A5">
        <v>2025</v>
      </c>
      <c r="B5">
        <v>4</v>
      </c>
      <c r="C5" t="s">
        <v>222</v>
      </c>
      <c r="D5" t="b">
        <v>0</v>
      </c>
    </row>
    <row r="6" spans="1:4" x14ac:dyDescent="0.25">
      <c r="A6">
        <v>2025</v>
      </c>
      <c r="B6">
        <v>5</v>
      </c>
      <c r="C6" t="s">
        <v>223</v>
      </c>
      <c r="D6" t="b">
        <v>0</v>
      </c>
    </row>
    <row r="7" spans="1:4" x14ac:dyDescent="0.25">
      <c r="A7">
        <v>2025</v>
      </c>
      <c r="B7">
        <v>6</v>
      </c>
      <c r="C7" t="s">
        <v>224</v>
      </c>
      <c r="D7" t="b">
        <v>0</v>
      </c>
    </row>
    <row r="8" spans="1:4" x14ac:dyDescent="0.25">
      <c r="A8">
        <v>2025</v>
      </c>
      <c r="B8">
        <v>7</v>
      </c>
      <c r="C8" t="s">
        <v>225</v>
      </c>
      <c r="D8" t="b">
        <v>0</v>
      </c>
    </row>
    <row r="9" spans="1:4" x14ac:dyDescent="0.25">
      <c r="A9">
        <v>2025</v>
      </c>
      <c r="B9">
        <v>8</v>
      </c>
      <c r="C9" t="s">
        <v>226</v>
      </c>
      <c r="D9" t="b">
        <v>0</v>
      </c>
    </row>
    <row r="10" spans="1:4" x14ac:dyDescent="0.25">
      <c r="A10">
        <v>2025</v>
      </c>
      <c r="B10">
        <v>9</v>
      </c>
      <c r="C10" t="s">
        <v>227</v>
      </c>
      <c r="D10" t="b">
        <v>0</v>
      </c>
    </row>
    <row r="11" spans="1:4" x14ac:dyDescent="0.25">
      <c r="A11">
        <v>2025</v>
      </c>
      <c r="B11">
        <v>10</v>
      </c>
      <c r="C11" t="s">
        <v>228</v>
      </c>
      <c r="D11" t="b">
        <v>1</v>
      </c>
    </row>
    <row r="12" spans="1:4" x14ac:dyDescent="0.25">
      <c r="A12">
        <v>2025</v>
      </c>
      <c r="B12">
        <v>11</v>
      </c>
      <c r="C12" t="s">
        <v>229</v>
      </c>
      <c r="D12" t="b">
        <v>1</v>
      </c>
    </row>
    <row r="13" spans="1:4" x14ac:dyDescent="0.25">
      <c r="A13">
        <v>2025</v>
      </c>
      <c r="B13">
        <v>12</v>
      </c>
      <c r="C13" t="s">
        <v>230</v>
      </c>
      <c r="D13" t="b">
        <v>0</v>
      </c>
    </row>
    <row r="14" spans="1:4" x14ac:dyDescent="0.25">
      <c r="A14">
        <v>2026</v>
      </c>
      <c r="B14">
        <v>1</v>
      </c>
      <c r="C14" t="s">
        <v>231</v>
      </c>
      <c r="D14" t="b">
        <v>0</v>
      </c>
    </row>
    <row r="15" spans="1:4" x14ac:dyDescent="0.25">
      <c r="A15">
        <v>2026</v>
      </c>
      <c r="B15">
        <v>2</v>
      </c>
      <c r="C15" t="s">
        <v>232</v>
      </c>
      <c r="D15" t="b">
        <v>0</v>
      </c>
    </row>
    <row r="16" spans="1:4" x14ac:dyDescent="0.25">
      <c r="A16">
        <v>2026</v>
      </c>
      <c r="B16">
        <v>3</v>
      </c>
      <c r="C16" t="s">
        <v>233</v>
      </c>
      <c r="D16" t="b">
        <v>1</v>
      </c>
    </row>
    <row r="17" spans="1:4" x14ac:dyDescent="0.25">
      <c r="A17">
        <v>2026</v>
      </c>
      <c r="B17">
        <v>4</v>
      </c>
      <c r="C17" t="s">
        <v>234</v>
      </c>
      <c r="D17" t="b">
        <v>0</v>
      </c>
    </row>
    <row r="18" spans="1:4" x14ac:dyDescent="0.25">
      <c r="A18">
        <v>2026</v>
      </c>
      <c r="B18">
        <v>5</v>
      </c>
      <c r="C18" t="s">
        <v>235</v>
      </c>
      <c r="D18" t="b">
        <v>0</v>
      </c>
    </row>
    <row r="19" spans="1:4" x14ac:dyDescent="0.25">
      <c r="A19">
        <v>2026</v>
      </c>
      <c r="B19">
        <v>6</v>
      </c>
      <c r="C19" t="s">
        <v>236</v>
      </c>
      <c r="D19" t="b">
        <v>0</v>
      </c>
    </row>
    <row r="20" spans="1:4" x14ac:dyDescent="0.25">
      <c r="A20">
        <v>2026</v>
      </c>
      <c r="B20">
        <v>7</v>
      </c>
      <c r="C20" t="s">
        <v>237</v>
      </c>
      <c r="D20" t="b">
        <v>0</v>
      </c>
    </row>
    <row r="21" spans="1:4" x14ac:dyDescent="0.25">
      <c r="A21">
        <v>2026</v>
      </c>
      <c r="B21">
        <v>8</v>
      </c>
      <c r="C21" t="s">
        <v>238</v>
      </c>
      <c r="D21" t="b">
        <v>0</v>
      </c>
    </row>
    <row r="22" spans="1:4" x14ac:dyDescent="0.25">
      <c r="A22">
        <v>2026</v>
      </c>
      <c r="B22">
        <v>9</v>
      </c>
      <c r="C22" t="s">
        <v>239</v>
      </c>
      <c r="D22" t="b">
        <v>0</v>
      </c>
    </row>
    <row r="23" spans="1:4" x14ac:dyDescent="0.25">
      <c r="A23">
        <v>2026</v>
      </c>
      <c r="B23">
        <v>10</v>
      </c>
      <c r="C23" t="s">
        <v>240</v>
      </c>
      <c r="D23" t="b">
        <v>1</v>
      </c>
    </row>
    <row r="24" spans="1:4" x14ac:dyDescent="0.25">
      <c r="A24">
        <v>2026</v>
      </c>
      <c r="B24">
        <v>11</v>
      </c>
      <c r="C24" t="s">
        <v>241</v>
      </c>
      <c r="D24" t="b">
        <v>1</v>
      </c>
    </row>
    <row r="25" spans="1:4" x14ac:dyDescent="0.25">
      <c r="A25">
        <v>2026</v>
      </c>
      <c r="B25">
        <v>12</v>
      </c>
      <c r="C25" t="s">
        <v>242</v>
      </c>
      <c r="D2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ht="32" customHeight="1" spans="1:4" x14ac:dyDescent="0.25">
      <c r="A1" s="1" t="s">
        <v>183</v>
      </c>
      <c r="B1" s="1" t="s">
        <v>243</v>
      </c>
      <c r="C1" s="1" t="s">
        <v>102</v>
      </c>
      <c r="D1" s="1" t="s">
        <v>77</v>
      </c>
    </row>
    <row r="2" spans="1:4" x14ac:dyDescent="0.25">
      <c r="A2" t="s">
        <v>188</v>
      </c>
      <c r="B2" t="s">
        <v>244</v>
      </c>
      <c r="C2" t="s">
        <v>245</v>
      </c>
      <c r="D2" t="s">
        <v>246</v>
      </c>
    </row>
    <row r="3" spans="1:4" x14ac:dyDescent="0.25">
      <c r="A3" t="s">
        <v>193</v>
      </c>
      <c r="B3" t="s">
        <v>247</v>
      </c>
      <c r="C3" t="s">
        <v>245</v>
      </c>
      <c r="D3" t="s">
        <v>246</v>
      </c>
    </row>
    <row r="4" spans="1:4" x14ac:dyDescent="0.25">
      <c r="A4" t="s">
        <v>198</v>
      </c>
      <c r="B4" t="s">
        <v>248</v>
      </c>
      <c r="C4" t="s">
        <v>249</v>
      </c>
      <c r="D4" t="s">
        <v>246</v>
      </c>
    </row>
    <row r="5" spans="1:4" x14ac:dyDescent="0.25">
      <c r="A5" t="s">
        <v>205</v>
      </c>
      <c r="B5" t="s">
        <v>250</v>
      </c>
      <c r="C5" t="s">
        <v>251</v>
      </c>
      <c r="D5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9 Checks</vt:lpstr>
      <vt:lpstr>Recommendations</vt:lpstr>
      <vt:lpstr>PO Summary</vt:lpstr>
      <vt:lpstr>Rules</vt:lpstr>
      <vt:lpstr>Sales_Wide</vt:lpstr>
      <vt:lpstr>SKU_Master</vt:lpstr>
      <vt:lpstr>Inventory</vt:lpstr>
      <vt:lpstr>Calendar</vt:lpstr>
      <vt:lpstr>Distributors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2026-10-25T12:37:30Z</dcterms:created>
  <dcterms:modified xsi:type="dcterms:W3CDTF">2026-10-25T12:37:30Z</dcterms:modified>
</cp:coreProperties>
</file>